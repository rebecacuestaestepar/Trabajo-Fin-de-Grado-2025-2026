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47140645-AF71-494E-951F-4EDE25019B3C}" xr6:coauthVersionLast="47" xr6:coauthVersionMax="47" xr10:uidLastSave="{00000000-0000-0000-0000-000000000000}"/>
  <bookViews>
    <workbookView xWindow="-108" yWindow="-108" windowWidth="23256" windowHeight="13896" tabRatio="854" activeTab="1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<sst xmlns="http://schemas.openxmlformats.org/spreadsheetml/2006/main" count="6615" uniqueCount="1375">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</sst>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6" fillId="14" borderId="0" xfId="0" applyFont="1" applyFill="1" applyAlignment="1">
      <alignment horizontal="center" vertical="center" textRotation="90"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2"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4" fillId="18" borderId="13" xfId="0" applyFont="1" applyFill="1" applyBorder="1" applyAlignment="1">
      <alignment horizontal="center" vertical="center" wrapText="1"/>
    </xf>
    <xf numFmtId="0" fontId="4" fillId="18" borderId="0" xfId="0" applyFont="1" applyFill="1" applyAlignment="1">
      <alignment horizontal="center" vertic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10" fillId="14" borderId="16" xfId="0" applyFont="1" applyFill="1" applyBorder="1" applyAlignment="1">
      <alignment horizontal="center" vertical="center" textRotation="90"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0" xfId="0" applyFont="1" applyFill="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9" fillId="7" borderId="0" xfId="0" applyFont="1" applyFill="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4" fillId="12" borderId="13"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6" fillId="8" borderId="12" xfId="0" applyFont="1" applyFill="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26" xfId="0" applyFont="1" applyFill="1" applyBorder="1" applyAlignment="1">
      <alignment horizontal="center"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6" fillId="4" borderId="50" xfId="0" applyFont="1" applyFill="1" applyBorder="1" applyAlignment="1">
      <alignment horizontal="center" wrapText="1"/>
    </xf>
    <xf numFmtId="0" fontId="6" fillId="4" borderId="48" xfId="0" applyFont="1" applyFill="1" applyBorder="1" applyAlignment="1">
      <alignment horizont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6" fillId="14" borderId="13" xfId="0" applyFont="1" applyFill="1" applyBorder="1" applyAlignment="1">
      <alignment horizontal="center" vertical="center" textRotation="90"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14" borderId="5" xfId="0" applyFont="1" applyFill="1" applyBorder="1" applyAlignment="1">
      <alignment horizontal="center" vertical="center" textRotation="90"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3" fillId="0" borderId="47" xfId="0" applyFont="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2"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2" borderId="1" xfId="0" applyFont="1" applyFill="1" applyBorder="1" applyAlignment="1">
      <alignment horizontal="center" vertical="center"/>
    </xf>
    <xf numFmtId="0" fontId="6" fillId="12" borderId="39" xfId="0" applyFont="1" applyFill="1" applyBorder="1" applyAlignment="1">
      <alignment horizontal="center" wrapText="1"/>
    </xf>
    <xf numFmtId="0" fontId="6" fillId="14" borderId="37" xfId="0" applyFont="1" applyFill="1" applyBorder="1" applyAlignment="1">
      <alignment horizontal="center" wrapText="1"/>
    </xf>
    <xf numFmtId="0" fontId="3" fillId="14" borderId="1" xfId="0" applyFont="1" applyFill="1" applyBorder="1" applyAlignment="1">
      <alignment horizontal="center" vertical="center"/>
    </xf>
    <xf numFmtId="0" fontId="10" fillId="4" borderId="0" xfId="0" applyFont="1" applyFill="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22" fillId="8" borderId="12" xfId="0" applyFont="1" applyFill="1" applyBorder="1" applyAlignment="1">
      <alignment horizontal="center" vertical="center"/>
    </xf>
    <xf numFmtId="0" fontId="10" fillId="0" borderId="1" xfId="0" applyFont="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4" borderId="38" xfId="0" applyFont="1" applyFill="1" applyBorder="1" applyAlignment="1">
      <alignment horizontal="center"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23"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36" xfId="0" applyFont="1" applyFill="1" applyBorder="1" applyAlignment="1">
      <alignment horizontal="center"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33" xfId="0" applyFont="1" applyFill="1" applyBorder="1" applyAlignment="1">
      <alignment horizontal="lef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0" fillId="0" borderId="32" xfId="0" applyFont="1" applyBorder="1" applyAlignment="1">
      <alignment horizontal="center" vertical="center"/>
    </xf>
    <xf numFmtId="0" fontId="3" fillId="12" borderId="1" xfId="0" applyFont="1" applyFill="1" applyBorder="1" applyAlignment="1">
      <alignment horizontal="left" vertical="center"/>
    </xf>
    <xf numFmtId="0" fontId="10" fillId="14" borderId="39" xfId="0" applyFont="1" applyFill="1" applyBorder="1" applyAlignment="1">
      <alignment horizontal="left" vertical="center"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38"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 fillId="0" borderId="46" xfId="0" applyFont="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4" borderId="39"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2" borderId="35" xfId="0" applyFont="1" applyFill="1" applyBorder="1" applyAlignment="1">
      <alignment horizontal="left" vertical="center"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3" fillId="0" borderId="41" xfId="0" applyFont="1" applyBorder="1" applyAlignment="1">
      <alignment horizontal="center" vertical="center"/>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17"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4" borderId="26" xfId="0" applyFont="1" applyFill="1" applyBorder="1" applyAlignment="1">
      <alignment horizontal="center"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4" borderId="50" xfId="0" applyFont="1" applyFill="1" applyBorder="1" applyAlignment="1">
      <alignment horizontal="center"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4" borderId="14"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50" xfId="0" applyFont="1" applyBorder="1" applyAlignment="1">
      <alignment horizontal="center" vertical="center"/>
    </xf>
    <xf numFmtId="0" fontId="3" fillId="0" borderId="14" xfId="0" applyFont="1" applyBorder="1" applyAlignment="1">
      <alignment horizontal="center" vertical="center"/>
    </xf>
    <xf numFmtId="0" fontId="10" fillId="14" borderId="21" xfId="0" applyFont="1" applyFill="1" applyBorder="1" applyAlignment="1">
      <alignment horizontal="left" vertical="center" textRotation="90" wrapText="1"/>
    </xf>
    <xf numFmtId="0" fontId="3" fillId="0" borderId="36" xfId="0" applyFont="1" applyBorder="1" applyAlignment="1">
      <alignment horizontal="center" vertical="center"/>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88" fillId="4" borderId="5" xfId="0" applyFont="1" applyFill="1" applyBorder="1" applyAlignment="1">
      <alignment horizontal="center" vertical="center" textRotation="90" wrapText="1"/>
    </xf>
    <xf numFmtId="0" fontId="88" fillId="4" borderId="26"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6" fillId="14" borderId="50" xfId="0" applyFont="1" applyFill="1" applyBorder="1" applyAlignment="1">
      <alignment horizontal="right" vertical="center" textRotation="90"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4" borderId="36" xfId="0" applyFont="1" applyFill="1" applyBorder="1" applyAlignment="1">
      <alignment horizontal="center"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14" borderId="1" xfId="0" applyFont="1" applyFill="1" applyBorder="1" applyAlignment="1">
      <alignment horizontal="center" vertical="center"/>
    </xf>
    <xf numFmtId="0" fontId="6" fillId="1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10" fillId="4" borderId="17" xfId="0" applyFont="1" applyFill="1" applyBorder="1" applyAlignment="1">
      <alignment horizontal="left" vertical="center" textRotation="90"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6" fillId="14" borderId="14"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88" fillId="4" borderId="25"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38" fillId="4" borderId="19"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18"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0" fillId="0" borderId="8" xfId="0" applyFont="1" applyBorder="1" applyAlignment="1">
      <alignment horizontal="left" vertical="center"/>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34" fillId="4" borderId="0" xfId="0" applyFont="1" applyFill="1" applyAlignment="1">
      <alignment horizontal="center" vertical="center" wrapText="1"/>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20" borderId="0" xfId="0" applyFont="1" applyFill="1" applyAlignment="1">
      <alignment horizontal="center" vertical="center" textRotation="90" wrapText="1"/>
    </xf>
    <xf numFmtId="0" fontId="5"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4" borderId="15"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14" borderId="17"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135" t="str">
        <f>VLOOKUP(A4,ASIGNATURAS!$A$2:$D$151, 3, FALSE)</f>
        <v>1º Grado en Ingeniería Electrónica Industrial y Automática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152</v>
      </c>
      <c r="AA2" s="1013"/>
      <c r="AB2" s="1013"/>
      <c r="AC2" s="1013"/>
      <c r="AD2" s="1013"/>
      <c r="AE2" s="1014"/>
    </row>
    <row r="3" spans="1:3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9" ht="38.25" customHeight="1" thickBot="1" x14ac:dyDescent="0.3">
      <c r="A4" s="9" t="s">
        <v>50</v>
      </c>
    </row>
    <row r="5" spans="1:39"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9" ht="30" customHeight="1" x14ac:dyDescent="0.3">
      <c r="A6" s="1160" t="s">
        <v>10</v>
      </c>
      <c r="B6" s="1002" t="s">
        <v>49</v>
      </c>
      <c r="C6" s="1003"/>
      <c r="D6" s="1003"/>
      <c r="E6" s="1003"/>
      <c r="F6" s="1003"/>
      <c r="G6" s="1004"/>
      <c r="H6" s="1003" t="s">
        <v>12</v>
      </c>
      <c r="I6" s="1003"/>
      <c r="J6" s="1003"/>
      <c r="K6" s="1003"/>
      <c r="L6" s="1003"/>
      <c r="M6" s="1004"/>
      <c r="N6" s="1003" t="s">
        <v>1337</v>
      </c>
      <c r="O6" s="1003"/>
      <c r="P6" s="1003"/>
      <c r="Q6" s="1003"/>
      <c r="R6" s="1003"/>
      <c r="S6" s="1004"/>
      <c r="T6" s="1003" t="s">
        <v>12</v>
      </c>
      <c r="U6" s="1003"/>
      <c r="V6" s="1003"/>
      <c r="W6" s="1003"/>
      <c r="X6" s="1003"/>
      <c r="Y6" s="1004"/>
      <c r="Z6" s="1003" t="s">
        <v>78</v>
      </c>
      <c r="AA6" s="1003"/>
      <c r="AB6" s="1003"/>
      <c r="AC6" s="1003"/>
      <c r="AD6" s="1003"/>
      <c r="AE6" s="1004"/>
    </row>
    <row r="7" spans="1:39" ht="30" customHeight="1" x14ac:dyDescent="0.25">
      <c r="A7" s="1161"/>
      <c r="B7" s="951" t="s">
        <v>152</v>
      </c>
      <c r="C7" s="952"/>
      <c r="D7" s="952"/>
      <c r="E7" s="952"/>
      <c r="F7" s="952"/>
      <c r="G7" s="953"/>
      <c r="H7" s="951" t="s">
        <v>152</v>
      </c>
      <c r="I7" s="952"/>
      <c r="J7" s="952"/>
      <c r="K7" s="952"/>
      <c r="L7" s="952"/>
      <c r="M7" s="953"/>
      <c r="N7" s="951" t="s">
        <v>813</v>
      </c>
      <c r="O7" s="952"/>
      <c r="P7" s="952"/>
      <c r="Q7" s="952"/>
      <c r="R7" s="952"/>
      <c r="S7" s="953"/>
      <c r="T7" s="951" t="s">
        <v>152</v>
      </c>
      <c r="U7" s="952"/>
      <c r="V7" s="952"/>
      <c r="W7" s="952"/>
      <c r="X7" s="952"/>
      <c r="Y7" s="953"/>
      <c r="Z7" s="951" t="s">
        <v>152</v>
      </c>
      <c r="AA7" s="952"/>
      <c r="AB7" s="952"/>
      <c r="AC7" s="952"/>
      <c r="AD7" s="952"/>
      <c r="AE7" s="953"/>
    </row>
    <row r="8" spans="1:39" ht="30" customHeight="1" x14ac:dyDescent="0.3">
      <c r="A8" s="1161" t="s">
        <v>11</v>
      </c>
      <c r="B8" s="963" t="s">
        <v>78</v>
      </c>
      <c r="C8" s="957"/>
      <c r="D8" s="957"/>
      <c r="E8" s="957"/>
      <c r="F8" s="957"/>
      <c r="G8" s="958"/>
      <c r="H8" s="957" t="s">
        <v>13</v>
      </c>
      <c r="I8" s="957"/>
      <c r="J8" s="957"/>
      <c r="K8" s="957"/>
      <c r="L8" s="957"/>
      <c r="M8" s="958"/>
      <c r="N8" s="503" t="s">
        <v>569</v>
      </c>
      <c r="O8" s="1657" t="s">
        <v>143</v>
      </c>
      <c r="P8" s="594" t="s">
        <v>570</v>
      </c>
      <c r="Q8" s="1657" t="s">
        <v>813</v>
      </c>
      <c r="R8" s="373"/>
      <c r="S8" s="1707"/>
      <c r="T8" s="957" t="s">
        <v>13</v>
      </c>
      <c r="U8" s="957"/>
      <c r="V8" s="957"/>
      <c r="W8" s="957"/>
      <c r="X8" s="957"/>
      <c r="Y8" s="958"/>
      <c r="Z8" s="957" t="s">
        <v>49</v>
      </c>
      <c r="AA8" s="957"/>
      <c r="AB8" s="957"/>
      <c r="AC8" s="957"/>
      <c r="AD8" s="957"/>
      <c r="AE8" s="958"/>
    </row>
    <row r="9" spans="1:39" ht="30" customHeight="1" x14ac:dyDescent="0.25">
      <c r="A9" s="1161"/>
      <c r="B9" s="951" t="s">
        <v>152</v>
      </c>
      <c r="C9" s="952"/>
      <c r="D9" s="952"/>
      <c r="E9" s="952"/>
      <c r="F9" s="952"/>
      <c r="G9" s="953"/>
      <c r="H9" s="951" t="s">
        <v>152</v>
      </c>
      <c r="I9" s="952"/>
      <c r="J9" s="952"/>
      <c r="K9" s="952"/>
      <c r="L9" s="952"/>
      <c r="M9" s="953"/>
      <c r="N9" s="1075" t="s">
        <v>1337</v>
      </c>
      <c r="O9" s="1182"/>
      <c r="P9" s="938" t="s">
        <v>1337</v>
      </c>
      <c r="Q9" s="1182"/>
      <c r="R9" s="1166"/>
      <c r="S9" s="1649"/>
      <c r="T9" s="951" t="s">
        <v>152</v>
      </c>
      <c r="U9" s="952"/>
      <c r="V9" s="952"/>
      <c r="W9" s="952"/>
      <c r="X9" s="952"/>
      <c r="Y9" s="953"/>
      <c r="Z9" s="951" t="s">
        <v>152</v>
      </c>
      <c r="AA9" s="952"/>
      <c r="AB9" s="952"/>
      <c r="AC9" s="952"/>
      <c r="AD9" s="952"/>
      <c r="AE9" s="953"/>
    </row>
    <row r="10" spans="1:39" ht="30" customHeight="1" x14ac:dyDescent="0.25">
      <c r="A10" s="1321" t="s">
        <v>6</v>
      </c>
      <c r="B10" s="386" t="s">
        <v>569</v>
      </c>
      <c r="C10" s="1240" t="s">
        <v>550</v>
      </c>
      <c r="D10" s="386" t="s">
        <v>570</v>
      </c>
      <c r="E10" s="1051" t="s">
        <v>1255</v>
      </c>
      <c r="F10" s="373"/>
      <c r="G10" s="1540"/>
      <c r="H10" s="594" t="s">
        <v>569</v>
      </c>
      <c r="I10" s="1324" t="s">
        <v>1271</v>
      </c>
      <c r="J10" s="386" t="s">
        <v>570</v>
      </c>
      <c r="K10" s="1324" t="s">
        <v>735</v>
      </c>
      <c r="N10" s="1075"/>
      <c r="O10" s="1182"/>
      <c r="P10" s="938"/>
      <c r="Q10" s="1182"/>
      <c r="R10" s="1166"/>
      <c r="S10" s="1649"/>
      <c r="T10" s="594" t="s">
        <v>570</v>
      </c>
      <c r="U10" s="1324" t="s">
        <v>1271</v>
      </c>
      <c r="V10" s="563"/>
      <c r="W10" s="1357"/>
      <c r="X10" s="563"/>
      <c r="Y10" s="1357"/>
      <c r="Z10" s="503" t="s">
        <v>569</v>
      </c>
      <c r="AA10" s="1324" t="s">
        <v>735</v>
      </c>
      <c r="AB10" s="386" t="s">
        <v>570</v>
      </c>
      <c r="AC10" s="1240" t="s">
        <v>550</v>
      </c>
      <c r="AD10" s="261"/>
      <c r="AE10" s="1695"/>
      <c r="AL10" s="611"/>
      <c r="AM10" s="612"/>
    </row>
    <row r="11" spans="1:39" ht="30" customHeight="1" x14ac:dyDescent="0.25">
      <c r="A11" s="1321"/>
      <c r="B11" s="1190" t="s">
        <v>78</v>
      </c>
      <c r="C11" s="1240"/>
      <c r="D11" s="1309" t="s">
        <v>12</v>
      </c>
      <c r="E11" s="1051"/>
      <c r="F11" s="1360"/>
      <c r="G11" s="1168"/>
      <c r="H11" s="1309" t="s">
        <v>13</v>
      </c>
      <c r="I11" s="1051"/>
      <c r="J11" s="1190" t="s">
        <v>49</v>
      </c>
      <c r="K11" s="1051"/>
      <c r="N11" s="1075"/>
      <c r="O11" s="1182"/>
      <c r="P11" s="938"/>
      <c r="Q11" s="1182"/>
      <c r="R11" s="1166"/>
      <c r="S11" s="1649"/>
      <c r="T11" s="1309" t="s">
        <v>13</v>
      </c>
      <c r="U11" s="1051"/>
      <c r="V11" s="1263"/>
      <c r="W11" s="1357"/>
      <c r="X11" s="1263"/>
      <c r="Y11" s="1357"/>
      <c r="Z11" s="1192" t="s">
        <v>49</v>
      </c>
      <c r="AA11" s="1051"/>
      <c r="AB11" s="1190" t="s">
        <v>78</v>
      </c>
      <c r="AC11" s="1240"/>
      <c r="AD11" s="1263"/>
      <c r="AE11" s="1696"/>
      <c r="AL11" s="124"/>
      <c r="AM11" s="612"/>
    </row>
    <row r="12" spans="1:39" ht="30" customHeight="1" x14ac:dyDescent="0.25">
      <c r="A12" s="1321" t="s">
        <v>7</v>
      </c>
      <c r="B12" s="1190"/>
      <c r="C12" s="1240"/>
      <c r="D12" s="1309"/>
      <c r="E12" s="1051"/>
      <c r="F12" s="1360"/>
      <c r="G12" s="1168"/>
      <c r="H12" s="1309"/>
      <c r="I12" s="1051"/>
      <c r="J12" s="1190"/>
      <c r="K12" s="1051"/>
      <c r="N12" s="1075"/>
      <c r="O12" s="1182"/>
      <c r="P12" s="938"/>
      <c r="Q12" s="1182"/>
      <c r="R12" s="1166"/>
      <c r="S12" s="1649"/>
      <c r="T12" s="1309"/>
      <c r="U12" s="1051"/>
      <c r="V12" s="1263"/>
      <c r="W12" s="1357"/>
      <c r="X12" s="1263"/>
      <c r="Y12" s="1357"/>
      <c r="Z12" s="1192"/>
      <c r="AA12" s="1051"/>
      <c r="AB12" s="1190"/>
      <c r="AC12" s="1240"/>
      <c r="AD12" s="1263"/>
      <c r="AE12" s="1696"/>
      <c r="AF12" s="33"/>
      <c r="AG12" s="20"/>
      <c r="AL12" s="124"/>
      <c r="AM12" s="612"/>
    </row>
    <row r="13" spans="1:39" ht="30" customHeight="1" x14ac:dyDescent="0.25">
      <c r="A13" s="1321"/>
      <c r="B13" s="1226"/>
      <c r="C13" s="1241"/>
      <c r="D13" s="1310"/>
      <c r="E13" s="1052"/>
      <c r="F13" s="1361"/>
      <c r="G13" s="1379"/>
      <c r="H13" s="1310"/>
      <c r="I13" s="1052"/>
      <c r="J13" s="1226"/>
      <c r="K13" s="1052"/>
      <c r="N13" s="1265"/>
      <c r="O13" s="1425"/>
      <c r="P13" s="1053"/>
      <c r="Q13" s="1425"/>
      <c r="R13" s="1397"/>
      <c r="S13" s="1708"/>
      <c r="T13" s="1310"/>
      <c r="U13" s="1052"/>
      <c r="V13" s="1264"/>
      <c r="W13" s="1358"/>
      <c r="X13" s="1264"/>
      <c r="Y13" s="1358"/>
      <c r="Z13" s="1193"/>
      <c r="AA13" s="1052"/>
      <c r="AB13" s="1226"/>
      <c r="AC13" s="1241"/>
      <c r="AD13" s="1264"/>
      <c r="AE13" s="1697"/>
      <c r="AL13" s="124"/>
      <c r="AM13" s="612"/>
    </row>
    <row r="14" spans="1:39" ht="30" customHeight="1" x14ac:dyDescent="0.25">
      <c r="A14" s="1321" t="s">
        <v>8</v>
      </c>
      <c r="B14" s="594" t="s">
        <v>569</v>
      </c>
      <c r="C14" s="1324" t="s">
        <v>1255</v>
      </c>
      <c r="D14" s="373"/>
      <c r="E14" s="1356"/>
      <c r="G14" s="32"/>
      <c r="H14" s="1584"/>
      <c r="I14" s="1546"/>
      <c r="J14" s="1546"/>
      <c r="K14" s="1546"/>
      <c r="L14" s="1546"/>
      <c r="M14" s="1547"/>
      <c r="N14" s="1698"/>
      <c r="O14" s="1699"/>
      <c r="P14" s="1699"/>
      <c r="Q14" s="1699"/>
      <c r="R14" s="1699"/>
      <c r="S14" s="1700"/>
      <c r="T14" s="1698"/>
      <c r="U14" s="1699"/>
      <c r="V14" s="1699"/>
      <c r="W14" s="1699"/>
      <c r="X14" s="1699"/>
      <c r="Y14" s="1700"/>
      <c r="Z14" s="1686"/>
      <c r="AA14" s="1687"/>
      <c r="AB14" s="1687"/>
      <c r="AC14" s="1687"/>
      <c r="AD14" s="1687"/>
      <c r="AE14" s="1688"/>
      <c r="AL14" s="124"/>
      <c r="AM14" s="612"/>
    </row>
    <row r="15" spans="1:39" ht="30" customHeight="1" x14ac:dyDescent="0.25">
      <c r="A15" s="1321"/>
      <c r="B15" s="1190" t="s">
        <v>12</v>
      </c>
      <c r="C15" s="1051"/>
      <c r="D15" s="1263"/>
      <c r="E15" s="1357"/>
      <c r="G15" s="32"/>
      <c r="H15" s="1217"/>
      <c r="I15" s="1218"/>
      <c r="J15" s="1218"/>
      <c r="K15" s="1218"/>
      <c r="L15" s="1218"/>
      <c r="M15" s="1219"/>
      <c r="N15" s="1701"/>
      <c r="O15" s="1702"/>
      <c r="P15" s="1702"/>
      <c r="Q15" s="1702"/>
      <c r="R15" s="1702"/>
      <c r="S15" s="1703"/>
      <c r="T15" s="1701"/>
      <c r="U15" s="1702"/>
      <c r="V15" s="1702"/>
      <c r="W15" s="1702"/>
      <c r="X15" s="1702"/>
      <c r="Y15" s="1703"/>
      <c r="Z15" s="1689"/>
      <c r="AA15" s="1690"/>
      <c r="AB15" s="1690"/>
      <c r="AC15" s="1690"/>
      <c r="AD15" s="1690"/>
      <c r="AE15" s="1691"/>
      <c r="AL15" s="124"/>
      <c r="AM15" s="612"/>
    </row>
    <row r="16" spans="1:39" ht="30" customHeight="1" x14ac:dyDescent="0.25">
      <c r="A16" s="1321" t="s">
        <v>9</v>
      </c>
      <c r="B16" s="1190"/>
      <c r="C16" s="1051"/>
      <c r="D16" s="1263"/>
      <c r="E16" s="1357"/>
      <c r="G16" s="32"/>
      <c r="H16" s="1217"/>
      <c r="I16" s="1218"/>
      <c r="J16" s="1218"/>
      <c r="K16" s="1218"/>
      <c r="L16" s="1218"/>
      <c r="M16" s="1219"/>
      <c r="N16" s="1701"/>
      <c r="O16" s="1702"/>
      <c r="P16" s="1702"/>
      <c r="Q16" s="1702"/>
      <c r="R16" s="1702"/>
      <c r="S16" s="1703"/>
      <c r="T16" s="1701"/>
      <c r="U16" s="1702"/>
      <c r="V16" s="1702"/>
      <c r="W16" s="1702"/>
      <c r="X16" s="1702"/>
      <c r="Y16" s="1703"/>
      <c r="Z16" s="1689"/>
      <c r="AA16" s="1690"/>
      <c r="AB16" s="1690"/>
      <c r="AC16" s="1690"/>
      <c r="AD16" s="1690"/>
      <c r="AE16" s="1691"/>
    </row>
    <row r="17" spans="1:32" ht="30" customHeight="1" thickBot="1" x14ac:dyDescent="0.3">
      <c r="A17" s="1338"/>
      <c r="B17" s="1191"/>
      <c r="C17" s="1485"/>
      <c r="D17" s="1685"/>
      <c r="E17" s="1519"/>
      <c r="F17" s="35"/>
      <c r="G17" s="36"/>
      <c r="H17" s="1220"/>
      <c r="I17" s="1221"/>
      <c r="J17" s="1221"/>
      <c r="K17" s="1221"/>
      <c r="L17" s="1221"/>
      <c r="M17" s="1222"/>
      <c r="N17" s="1704"/>
      <c r="O17" s="1705"/>
      <c r="P17" s="1705"/>
      <c r="Q17" s="1705"/>
      <c r="R17" s="1705"/>
      <c r="S17" s="1706"/>
      <c r="T17" s="1704"/>
      <c r="U17" s="1705"/>
      <c r="V17" s="1705"/>
      <c r="W17" s="1705"/>
      <c r="X17" s="1705"/>
      <c r="Y17" s="1706"/>
      <c r="Z17" s="1692"/>
      <c r="AA17" s="1693"/>
      <c r="AB17" s="1693"/>
      <c r="AC17" s="1693"/>
      <c r="AD17" s="1693"/>
      <c r="AE17" s="1694"/>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33" t="s">
        <v>214</v>
      </c>
      <c r="B19" s="935"/>
      <c r="C19" s="934" t="s">
        <v>215</v>
      </c>
      <c r="D19" s="934"/>
      <c r="E19" s="934"/>
      <c r="F19" s="934"/>
      <c r="G19" s="934"/>
      <c r="H19" s="934"/>
      <c r="I19" s="934"/>
      <c r="J19" s="934"/>
      <c r="K19" s="934"/>
      <c r="L19" s="58"/>
      <c r="M19" s="1034" t="s">
        <v>300</v>
      </c>
      <c r="N19" s="1035"/>
      <c r="O19" s="934" t="s">
        <v>139</v>
      </c>
      <c r="P19" s="935"/>
      <c r="Q19" s="934" t="s">
        <v>163</v>
      </c>
      <c r="R19" s="934"/>
      <c r="S19" s="934"/>
      <c r="T19" s="934"/>
      <c r="U19" s="934"/>
      <c r="V19" s="934"/>
      <c r="W19" s="934"/>
      <c r="X19" s="934"/>
      <c r="Y19" s="934"/>
      <c r="Z19" s="934"/>
      <c r="AA19" s="934"/>
      <c r="AB19" s="934"/>
      <c r="AC19" s="934"/>
      <c r="AD19" s="934"/>
      <c r="AE19" s="935"/>
    </row>
    <row r="20" spans="1:32" ht="13.8" x14ac:dyDescent="0.25">
      <c r="A20" s="1188" t="str">
        <f>VLOOKUP(M20,ASIGNATURAS!$F$1:$L$1022, 3, FALSE)</f>
        <v>ALGEBRA</v>
      </c>
      <c r="B20" s="1189"/>
      <c r="C20" s="981" t="str">
        <f>VLOOKUP(M20,ASIGNATURAS!$F$1:$L$1022, 4, FALSE)</f>
        <v>Álgebra y Ecuaciones Diferenciales</v>
      </c>
      <c r="D20" s="982"/>
      <c r="E20" s="982"/>
      <c r="F20" s="982"/>
      <c r="G20" s="982"/>
      <c r="H20" s="982"/>
      <c r="I20" s="982"/>
      <c r="J20" s="982"/>
      <c r="K20" s="982"/>
      <c r="L20" s="983"/>
      <c r="M20" s="936">
        <v>6392</v>
      </c>
      <c r="N20" s="937"/>
      <c r="O20" s="936">
        <f>VLOOKUP(M20,ASIGNATURAS!$F$1:$L$1022, 5, FALSE)</f>
        <v>6</v>
      </c>
      <c r="P20" s="937"/>
      <c r="Q20" s="981" t="str">
        <f>VLOOKUP(M20,ASIGNATURAS!$F$1:$L$1022, 6, FALSE)</f>
        <v>Roberto Casado</v>
      </c>
      <c r="R20" s="982"/>
      <c r="S20" s="982"/>
      <c r="T20" s="982"/>
      <c r="U20" s="982"/>
      <c r="V20" s="982"/>
      <c r="W20" s="982"/>
      <c r="X20" s="982"/>
      <c r="Y20" s="982"/>
      <c r="Z20" s="982"/>
      <c r="AA20" s="982"/>
      <c r="AB20" s="982"/>
      <c r="AC20" s="982"/>
      <c r="AD20" s="982"/>
      <c r="AE20" s="983"/>
    </row>
    <row r="21" spans="1:32" ht="13.8" x14ac:dyDescent="0.25">
      <c r="A21" s="1188" t="str">
        <f>VLOOKUP(M21,ASIGNATURAS!$F$1:$L$1022, 3, FALSE)</f>
        <v>CALCULO</v>
      </c>
      <c r="B21" s="1189"/>
      <c r="C21" s="981" t="str">
        <f>VLOOKUP(M21,ASIGNATURAS!$F$1:$L$1022, 4, FALSE)</f>
        <v>Cálculo</v>
      </c>
      <c r="D21" s="982"/>
      <c r="E21" s="982"/>
      <c r="F21" s="982"/>
      <c r="G21" s="982"/>
      <c r="H21" s="982"/>
      <c r="I21" s="982"/>
      <c r="J21" s="982"/>
      <c r="K21" s="982"/>
      <c r="L21" s="983"/>
      <c r="M21" s="936">
        <v>6393</v>
      </c>
      <c r="N21" s="937"/>
      <c r="O21" s="936">
        <f>VLOOKUP(M21,ASIGNATURAS!$F$1:$L$1022, 5, FALSE)</f>
        <v>6</v>
      </c>
      <c r="P21" s="937"/>
      <c r="Q21" s="981" t="str">
        <f>VLOOKUP(M21,ASIGNATURAS!$F$1:$L$1022, 6, FALSE)</f>
        <v>Roberto Casado</v>
      </c>
      <c r="R21" s="982"/>
      <c r="S21" s="982"/>
      <c r="T21" s="982"/>
      <c r="U21" s="982"/>
      <c r="V21" s="982"/>
      <c r="W21" s="982"/>
      <c r="X21" s="982"/>
      <c r="Y21" s="982"/>
      <c r="Z21" s="982"/>
      <c r="AA21" s="982"/>
      <c r="AB21" s="982"/>
      <c r="AC21" s="982"/>
      <c r="AD21" s="982"/>
      <c r="AE21" s="983"/>
    </row>
    <row r="22" spans="1:32" ht="13.8" x14ac:dyDescent="0.25">
      <c r="A22" s="1188" t="str">
        <f>VLOOKUP(M22,ASIGNATURAS!$F$1:$L$1022, 3, FALSE)</f>
        <v>FISICA I</v>
      </c>
      <c r="B22" s="1189"/>
      <c r="C22" s="981" t="str">
        <f>VLOOKUP(M22,ASIGNATURAS!$F$1:$L$1022, 4, FALSE)</f>
        <v>Física I</v>
      </c>
      <c r="D22" s="982"/>
      <c r="E22" s="982"/>
      <c r="F22" s="982"/>
      <c r="G22" s="982"/>
      <c r="H22" s="982"/>
      <c r="I22" s="982"/>
      <c r="J22" s="982"/>
      <c r="K22" s="982"/>
      <c r="L22" s="983"/>
      <c r="M22" s="936">
        <v>6394</v>
      </c>
      <c r="N22" s="937"/>
      <c r="O22" s="936">
        <f>VLOOKUP(M22,ASIGNATURAS!$F$1:$L$1022, 5, FALSE)</f>
        <v>6</v>
      </c>
      <c r="P22" s="937"/>
      <c r="Q22" s="981" t="str">
        <f>VLOOKUP(M22,ASIGNATURAS!$F$1:$L$1022, 6, FALSE)</f>
        <v>Alfonso Blasco Sanz</v>
      </c>
      <c r="R22" s="982"/>
      <c r="S22" s="982"/>
      <c r="T22" s="982"/>
      <c r="U22" s="982"/>
      <c r="V22" s="982"/>
      <c r="W22" s="982"/>
      <c r="X22" s="982"/>
      <c r="Y22" s="982"/>
      <c r="Z22" s="982"/>
      <c r="AA22" s="982"/>
      <c r="AB22" s="982"/>
      <c r="AC22" s="982"/>
      <c r="AD22" s="982"/>
      <c r="AE22" s="983"/>
    </row>
    <row r="23" spans="1:32" ht="13.8" x14ac:dyDescent="0.25">
      <c r="A23" s="1188" t="str">
        <f>VLOOKUP(M23,ASIGNATURAS!$F$1:$L$1022, 3, FALSE)</f>
        <v>EXP. GRAFICA</v>
      </c>
      <c r="B23" s="1189"/>
      <c r="C23" s="981" t="str">
        <f>VLOOKUP(M23,ASIGNATURAS!$F$1:$L$1022, 4, FALSE)</f>
        <v>Expresión Gráfica</v>
      </c>
      <c r="D23" s="982"/>
      <c r="E23" s="982"/>
      <c r="F23" s="982"/>
      <c r="G23" s="982"/>
      <c r="H23" s="982"/>
      <c r="I23" s="982"/>
      <c r="J23" s="982"/>
      <c r="K23" s="982"/>
      <c r="L23" s="983"/>
      <c r="M23" s="936">
        <v>6395</v>
      </c>
      <c r="N23" s="937"/>
      <c r="O23" s="936">
        <f>VLOOKUP(M23,ASIGNATURAS!$F$1:$L$1022, 5, FALSE)</f>
        <v>6</v>
      </c>
      <c r="P23" s="937"/>
      <c r="Q23" s="981" t="str">
        <f>VLOOKUP(M23,ASIGNATURAS!$F$1:$L$1022, 6, FALSE)</f>
        <v>Esteban García Maté, Esther Baños García</v>
      </c>
      <c r="R23" s="982"/>
      <c r="S23" s="982"/>
      <c r="T23" s="982"/>
      <c r="U23" s="982"/>
      <c r="V23" s="982"/>
      <c r="W23" s="982"/>
      <c r="X23" s="982"/>
      <c r="Y23" s="982"/>
      <c r="Z23" s="982"/>
      <c r="AA23" s="982"/>
      <c r="AB23" s="982"/>
      <c r="AC23" s="982"/>
      <c r="AD23" s="982"/>
      <c r="AE23" s="983"/>
    </row>
    <row r="24" spans="1:32" ht="14.4" thickBot="1" x14ac:dyDescent="0.3">
      <c r="A24" s="1201" t="str">
        <f>VLOOKUP(M24,ASIGNATURAS!$F$1:$L$1022, 3, FALSE)</f>
        <v>INFORMATICA</v>
      </c>
      <c r="B24" s="1372"/>
      <c r="C24" s="1022" t="str">
        <f>VLOOKUP(M24,ASIGNATURAS!$F$1:$L$1022, 4, FALSE)</f>
        <v>Informática Básica</v>
      </c>
      <c r="D24" s="1023"/>
      <c r="E24" s="1023"/>
      <c r="F24" s="1023"/>
      <c r="G24" s="1023"/>
      <c r="H24" s="1023"/>
      <c r="I24" s="1023"/>
      <c r="J24" s="1023"/>
      <c r="K24" s="1023"/>
      <c r="L24" s="1024"/>
      <c r="M24" s="1295">
        <v>6396</v>
      </c>
      <c r="N24" s="1296"/>
      <c r="O24" s="1295">
        <f>VLOOKUP(M24,ASIGNATURAS!$F$1:$L$1022, 5, FALSE)</f>
        <v>6</v>
      </c>
      <c r="P24" s="1296"/>
      <c r="Q24" s="1022" t="str">
        <f>VLOOKUP(M24,ASIGNATURAS!$F$1:$L$1022, 6, FALSE)</f>
        <v>Beatriz Gil Arroyo, Sergio Martín Marquina</v>
      </c>
      <c r="R24" s="1023"/>
      <c r="S24" s="1023"/>
      <c r="T24" s="1023"/>
      <c r="U24" s="1023"/>
      <c r="V24" s="1023"/>
      <c r="W24" s="1023"/>
      <c r="X24" s="1023"/>
      <c r="Y24" s="1023"/>
      <c r="Z24" s="1023"/>
      <c r="AA24" s="1023"/>
      <c r="AB24" s="1023"/>
      <c r="AC24" s="1023"/>
      <c r="AD24" s="1023"/>
      <c r="AE24" s="1024"/>
    </row>
    <row r="27" spans="1:32" ht="24" customHeight="1" x14ac:dyDescent="0.25">
      <c r="A27" s="1145" t="s">
        <v>1005</v>
      </c>
      <c r="B27" s="1145"/>
      <c r="C27" s="1145"/>
      <c r="D27" s="1145"/>
      <c r="E27" s="1145"/>
    </row>
    <row r="28" spans="1:32" ht="24" customHeight="1" x14ac:dyDescent="0.25">
      <c r="A28" s="1148" t="s">
        <v>1007</v>
      </c>
      <c r="B28" s="1148"/>
      <c r="C28" s="1148"/>
      <c r="D28" s="1148"/>
      <c r="E28" s="1148"/>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35" t="str">
        <f>VLOOKUP(A36,ASIGNATURAS!$A$2:$D$151, 3, FALSE)</f>
        <v>1º Grado en Ingeniería Electrónica Industrial y Automática</v>
      </c>
      <c r="B33" s="1136"/>
      <c r="C33" s="1136"/>
      <c r="D33" s="1136"/>
      <c r="E33" s="1136"/>
      <c r="F33" s="1136"/>
      <c r="G33" s="1136"/>
      <c r="H33" s="1136"/>
      <c r="I33" s="1136"/>
      <c r="J33" s="1136"/>
      <c r="K33" s="1136"/>
      <c r="L33" s="1136"/>
      <c r="M33" s="1136"/>
      <c r="N33" s="1136"/>
      <c r="O33" s="1136"/>
      <c r="P33" s="1136"/>
      <c r="Q33" s="1136"/>
      <c r="R33" s="1136"/>
      <c r="S33" s="1136"/>
      <c r="T33" s="1136"/>
      <c r="U33" s="1136"/>
      <c r="V33" s="1136"/>
      <c r="W33" s="1136"/>
      <c r="X33" s="1136"/>
      <c r="Y33" s="1137"/>
      <c r="Z33" s="1064" t="str">
        <f>Z1</f>
        <v>Curso 2024-2025</v>
      </c>
      <c r="AA33" s="1065"/>
      <c r="AB33" s="1065"/>
      <c r="AC33" s="1065"/>
      <c r="AD33" s="1065"/>
      <c r="AE33" s="1066"/>
    </row>
    <row r="34" spans="1:33" s="8" customFormat="1" ht="23.25" customHeight="1" thickBot="1" x14ac:dyDescent="0.45">
      <c r="A34" s="1132" t="str">
        <f>VLOOKUP(A36,ASIGNATURAS!$A$2:$D$151, 2, FALSE)</f>
        <v>Semestre temporal: 2º        (2º Semestre Académico)</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3" t="s">
        <v>154</v>
      </c>
      <c r="AA34" s="1013"/>
      <c r="AB34" s="1013"/>
      <c r="AC34" s="1013"/>
      <c r="AD34" s="1013"/>
      <c r="AE34" s="1014"/>
    </row>
    <row r="35" spans="1:33" s="8" customFormat="1" ht="23.25" customHeight="1" thickBot="1" x14ac:dyDescent="0.45">
      <c r="A35" s="1132" t="s">
        <v>138</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015"/>
      <c r="AA35" s="1015"/>
      <c r="AB35" s="1015"/>
      <c r="AC35" s="1015"/>
      <c r="AD35" s="1015"/>
      <c r="AE35" s="1016"/>
    </row>
    <row r="36" spans="1:33" ht="38.25" customHeight="1" thickBot="1" x14ac:dyDescent="0.3">
      <c r="A36" s="9" t="s">
        <v>51</v>
      </c>
    </row>
    <row r="37" spans="1:33" s="2" customFormat="1" ht="24" customHeight="1" thickBot="1" x14ac:dyDescent="0.3">
      <c r="A37" s="19" t="s">
        <v>1</v>
      </c>
      <c r="B37" s="1064" t="s">
        <v>2</v>
      </c>
      <c r="C37" s="1065"/>
      <c r="D37" s="1065"/>
      <c r="E37" s="1065"/>
      <c r="F37" s="1065"/>
      <c r="G37" s="1066"/>
      <c r="H37" s="1064" t="s">
        <v>3</v>
      </c>
      <c r="I37" s="1065"/>
      <c r="J37" s="1065"/>
      <c r="K37" s="1065"/>
      <c r="L37" s="1065"/>
      <c r="M37" s="1066"/>
      <c r="N37" s="975" t="s">
        <v>135</v>
      </c>
      <c r="O37" s="976"/>
      <c r="P37" s="976"/>
      <c r="Q37" s="976"/>
      <c r="R37" s="976"/>
      <c r="S37" s="977"/>
      <c r="T37" s="1064" t="s">
        <v>4</v>
      </c>
      <c r="U37" s="1065"/>
      <c r="V37" s="1065"/>
      <c r="W37" s="1065"/>
      <c r="X37" s="1065"/>
      <c r="Y37" s="1066"/>
      <c r="Z37" s="1064" t="s">
        <v>5</v>
      </c>
      <c r="AA37" s="1065"/>
      <c r="AB37" s="1065"/>
      <c r="AC37" s="1065"/>
      <c r="AD37" s="1065"/>
      <c r="AE37" s="1066"/>
    </row>
    <row r="38" spans="1:33" ht="33.75" customHeight="1" x14ac:dyDescent="0.3">
      <c r="A38" s="1160" t="s">
        <v>10</v>
      </c>
      <c r="B38" s="1002" t="s">
        <v>23</v>
      </c>
      <c r="C38" s="1003"/>
      <c r="D38" s="1003"/>
      <c r="E38" s="1003"/>
      <c r="F38" s="1003"/>
      <c r="G38" s="1004"/>
      <c r="H38" s="1003" t="s">
        <v>23</v>
      </c>
      <c r="I38" s="1003"/>
      <c r="J38" s="1003"/>
      <c r="K38" s="1003"/>
      <c r="L38" s="1003"/>
      <c r="M38" s="1003"/>
      <c r="N38" s="994" t="s">
        <v>26</v>
      </c>
      <c r="O38" s="995"/>
      <c r="P38" s="995"/>
      <c r="Q38" s="995"/>
      <c r="R38" s="995"/>
      <c r="S38" s="996"/>
      <c r="T38" s="1002" t="s">
        <v>25</v>
      </c>
      <c r="U38" s="1003"/>
      <c r="V38" s="1003"/>
      <c r="W38" s="1003"/>
      <c r="X38" s="1003"/>
      <c r="Y38" s="1004"/>
      <c r="Z38" s="1002" t="s">
        <v>24</v>
      </c>
      <c r="AA38" s="1003"/>
      <c r="AB38" s="1003"/>
      <c r="AC38" s="1003"/>
      <c r="AD38" s="1003"/>
      <c r="AE38" s="1004"/>
      <c r="AF38" s="33"/>
    </row>
    <row r="39" spans="1:33" ht="33.75" customHeight="1" x14ac:dyDescent="0.25">
      <c r="A39" s="1161"/>
      <c r="B39" s="951" t="s">
        <v>154</v>
      </c>
      <c r="C39" s="952"/>
      <c r="D39" s="952"/>
      <c r="E39" s="952"/>
      <c r="F39" s="952"/>
      <c r="G39" s="953"/>
      <c r="H39" s="951" t="s">
        <v>154</v>
      </c>
      <c r="I39" s="952"/>
      <c r="J39" s="952"/>
      <c r="K39" s="952"/>
      <c r="L39" s="952"/>
      <c r="M39" s="953"/>
      <c r="N39" s="951" t="s">
        <v>146</v>
      </c>
      <c r="O39" s="952"/>
      <c r="P39" s="952"/>
      <c r="Q39" s="952"/>
      <c r="R39" s="952"/>
      <c r="S39" s="953"/>
      <c r="T39" s="951" t="s">
        <v>154</v>
      </c>
      <c r="U39" s="952"/>
      <c r="V39" s="952"/>
      <c r="W39" s="952"/>
      <c r="X39" s="952"/>
      <c r="Y39" s="953"/>
      <c r="Z39" s="951" t="s">
        <v>154</v>
      </c>
      <c r="AA39" s="952"/>
      <c r="AB39" s="952"/>
      <c r="AC39" s="952"/>
      <c r="AD39" s="952"/>
      <c r="AE39" s="953"/>
    </row>
    <row r="40" spans="1:33" ht="33.75" customHeight="1" x14ac:dyDescent="0.3">
      <c r="A40" s="1161" t="s">
        <v>11</v>
      </c>
      <c r="B40" s="963" t="s">
        <v>27</v>
      </c>
      <c r="C40" s="957"/>
      <c r="D40" s="957"/>
      <c r="E40" s="957"/>
      <c r="F40" s="957"/>
      <c r="G40" s="957"/>
      <c r="H40" s="963" t="s">
        <v>27</v>
      </c>
      <c r="I40" s="957"/>
      <c r="J40" s="957"/>
      <c r="K40" s="957"/>
      <c r="L40" s="957"/>
      <c r="M40" s="958"/>
      <c r="N40" s="963" t="s">
        <v>26</v>
      </c>
      <c r="O40" s="957"/>
      <c r="P40" s="957"/>
      <c r="Q40" s="957"/>
      <c r="R40" s="957"/>
      <c r="S40" s="958"/>
      <c r="T40" s="963" t="s">
        <v>24</v>
      </c>
      <c r="U40" s="957"/>
      <c r="V40" s="957"/>
      <c r="W40" s="957"/>
      <c r="X40" s="957"/>
      <c r="Y40" s="958"/>
      <c r="Z40" s="963" t="s">
        <v>25</v>
      </c>
      <c r="AA40" s="957"/>
      <c r="AB40" s="957"/>
      <c r="AC40" s="957"/>
      <c r="AD40" s="957"/>
      <c r="AE40" s="958"/>
    </row>
    <row r="41" spans="1:33" ht="33.75" customHeight="1" x14ac:dyDescent="0.25">
      <c r="A41" s="1161"/>
      <c r="B41" s="951" t="s">
        <v>154</v>
      </c>
      <c r="C41" s="952"/>
      <c r="D41" s="952"/>
      <c r="E41" s="952"/>
      <c r="F41" s="952"/>
      <c r="G41" s="953"/>
      <c r="H41" s="951" t="s">
        <v>154</v>
      </c>
      <c r="I41" s="952"/>
      <c r="J41" s="952"/>
      <c r="K41" s="952"/>
      <c r="L41" s="952"/>
      <c r="M41" s="953"/>
      <c r="N41" s="951" t="s">
        <v>146</v>
      </c>
      <c r="O41" s="952"/>
      <c r="P41" s="952"/>
      <c r="Q41" s="952"/>
      <c r="R41" s="952"/>
      <c r="S41" s="953"/>
      <c r="T41" s="951" t="s">
        <v>154</v>
      </c>
      <c r="U41" s="952"/>
      <c r="V41" s="952"/>
      <c r="W41" s="952"/>
      <c r="X41" s="952"/>
      <c r="Y41" s="953"/>
      <c r="Z41" s="951" t="s">
        <v>154</v>
      </c>
      <c r="AA41" s="952"/>
      <c r="AB41" s="952"/>
      <c r="AC41" s="952"/>
      <c r="AD41" s="952"/>
      <c r="AE41" s="953"/>
    </row>
    <row r="42" spans="1:33" ht="33.75" customHeight="1" x14ac:dyDescent="0.25">
      <c r="A42" s="1321" t="s">
        <v>6</v>
      </c>
      <c r="B42" s="788"/>
      <c r="C42" s="1733"/>
      <c r="D42" s="158" t="s">
        <v>570</v>
      </c>
      <c r="E42" s="1243" t="s">
        <v>146</v>
      </c>
      <c r="F42" s="485"/>
      <c r="G42" s="1715"/>
      <c r="H42" s="225" t="s">
        <v>569</v>
      </c>
      <c r="I42" s="1243" t="s">
        <v>146</v>
      </c>
      <c r="J42" s="158" t="s">
        <v>570</v>
      </c>
      <c r="K42" s="1182" t="s">
        <v>160</v>
      </c>
      <c r="L42" s="186"/>
      <c r="M42" s="1715"/>
      <c r="N42" s="159" t="s">
        <v>569</v>
      </c>
      <c r="O42" s="1182" t="s">
        <v>160</v>
      </c>
      <c r="P42" s="158" t="s">
        <v>570</v>
      </c>
      <c r="Q42" s="1657" t="s">
        <v>1226</v>
      </c>
      <c r="R42" s="485"/>
      <c r="S42" s="1649"/>
      <c r="T42" s="302"/>
      <c r="U42" s="1727"/>
      <c r="V42" s="303" t="s">
        <v>570</v>
      </c>
      <c r="W42" s="1243" t="s">
        <v>560</v>
      </c>
      <c r="X42" s="186"/>
      <c r="Y42" s="1720"/>
      <c r="Z42" s="158" t="s">
        <v>569</v>
      </c>
      <c r="AA42" s="1242" t="s">
        <v>560</v>
      </c>
      <c r="AD42" s="186"/>
      <c r="AE42" s="1707"/>
    </row>
    <row r="43" spans="1:33" ht="33.75" customHeight="1" x14ac:dyDescent="0.25">
      <c r="A43" s="1321"/>
      <c r="B43" s="1736"/>
      <c r="C43" s="1734"/>
      <c r="D43" s="1289" t="s">
        <v>26</v>
      </c>
      <c r="E43" s="1243"/>
      <c r="F43" s="1717"/>
      <c r="G43" s="1715"/>
      <c r="H43" s="1075" t="s">
        <v>26</v>
      </c>
      <c r="I43" s="1243"/>
      <c r="J43" s="1289" t="s">
        <v>27</v>
      </c>
      <c r="K43" s="1182"/>
      <c r="L43" s="1713"/>
      <c r="M43" s="1715"/>
      <c r="N43" s="1075" t="s">
        <v>27</v>
      </c>
      <c r="O43" s="1182"/>
      <c r="P43" s="1744" t="s">
        <v>24</v>
      </c>
      <c r="Q43" s="1182"/>
      <c r="R43" s="1737"/>
      <c r="S43" s="1649"/>
      <c r="T43" s="1423"/>
      <c r="U43" s="1728"/>
      <c r="V43" s="938" t="s">
        <v>25</v>
      </c>
      <c r="W43" s="1730"/>
      <c r="X43" s="1713"/>
      <c r="Y43" s="1720"/>
      <c r="Z43" s="1289" t="s">
        <v>25</v>
      </c>
      <c r="AA43" s="1243"/>
      <c r="AD43" s="1737"/>
      <c r="AE43" s="1649"/>
    </row>
    <row r="44" spans="1:33" ht="33.75" customHeight="1" x14ac:dyDescent="0.25">
      <c r="A44" s="1321" t="s">
        <v>7</v>
      </c>
      <c r="B44" s="1736"/>
      <c r="C44" s="1734"/>
      <c r="D44" s="1289"/>
      <c r="E44" s="1243"/>
      <c r="F44" s="1717"/>
      <c r="G44" s="1715"/>
      <c r="H44" s="1075"/>
      <c r="I44" s="1243"/>
      <c r="J44" s="1289"/>
      <c r="K44" s="1182"/>
      <c r="L44" s="1713"/>
      <c r="M44" s="1715"/>
      <c r="N44" s="1075"/>
      <c r="O44" s="1182"/>
      <c r="P44" s="1744"/>
      <c r="Q44" s="1182"/>
      <c r="R44" s="1737"/>
      <c r="S44" s="1649"/>
      <c r="T44" s="1423"/>
      <c r="U44" s="1728"/>
      <c r="V44" s="938"/>
      <c r="W44" s="1730"/>
      <c r="X44" s="1713"/>
      <c r="Y44" s="1720"/>
      <c r="Z44" s="1289"/>
      <c r="AA44" s="1243"/>
      <c r="AD44" s="1737"/>
      <c r="AE44" s="1649"/>
      <c r="AG44" s="20"/>
    </row>
    <row r="45" spans="1:33" ht="33.75" customHeight="1" x14ac:dyDescent="0.25">
      <c r="A45" s="1321"/>
      <c r="B45" s="1736"/>
      <c r="C45" s="1734"/>
      <c r="D45" s="1290"/>
      <c r="E45" s="1244"/>
      <c r="F45" s="1718"/>
      <c r="G45" s="1716"/>
      <c r="H45" s="1265"/>
      <c r="I45" s="1244"/>
      <c r="J45" s="1290"/>
      <c r="K45" s="1425"/>
      <c r="L45" s="1714"/>
      <c r="M45" s="1716"/>
      <c r="N45" s="1265"/>
      <c r="O45" s="1425"/>
      <c r="P45" s="1744"/>
      <c r="Q45" s="1182"/>
      <c r="R45" s="1738"/>
      <c r="S45" s="1708"/>
      <c r="T45" s="1536"/>
      <c r="U45" s="1729"/>
      <c r="V45" s="1053"/>
      <c r="W45" s="1731"/>
      <c r="X45" s="1714"/>
      <c r="Y45" s="1743"/>
      <c r="Z45" s="1289"/>
      <c r="AA45" s="1244"/>
      <c r="AD45" s="1738"/>
      <c r="AE45" s="1708"/>
    </row>
    <row r="46" spans="1:33" ht="33.75" customHeight="1" x14ac:dyDescent="0.25">
      <c r="A46" s="1161" t="s">
        <v>8</v>
      </c>
      <c r="B46" s="786"/>
      <c r="C46" s="1739"/>
      <c r="D46" s="789"/>
      <c r="E46" s="1733"/>
      <c r="F46" s="171"/>
      <c r="G46" s="1719"/>
      <c r="H46" s="1584"/>
      <c r="I46" s="1546"/>
      <c r="J46" s="1546"/>
      <c r="K46" s="1546"/>
      <c r="L46" s="1546"/>
      <c r="M46" s="1547"/>
      <c r="N46" s="303" t="s">
        <v>569</v>
      </c>
      <c r="O46" s="1242" t="s">
        <v>1079</v>
      </c>
      <c r="P46" s="485"/>
      <c r="Q46" s="1739"/>
      <c r="R46" s="171"/>
      <c r="S46" s="1649"/>
      <c r="T46" s="302"/>
      <c r="U46" s="1728"/>
      <c r="V46" s="158" t="s">
        <v>570</v>
      </c>
      <c r="W46" s="1242" t="s">
        <v>1079</v>
      </c>
      <c r="X46" s="171"/>
      <c r="Y46" s="1720"/>
      <c r="Z46" s="225" t="s">
        <v>569</v>
      </c>
      <c r="AA46" s="1182" t="s">
        <v>1226</v>
      </c>
      <c r="AB46" s="125"/>
      <c r="AC46" s="125"/>
      <c r="AD46" s="125"/>
      <c r="AE46" s="722"/>
    </row>
    <row r="47" spans="1:33" ht="33.75" customHeight="1" x14ac:dyDescent="0.25">
      <c r="A47" s="1161"/>
      <c r="B47" s="1745"/>
      <c r="C47" s="1666"/>
      <c r="D47" s="1747"/>
      <c r="E47" s="1734"/>
      <c r="F47" s="1166"/>
      <c r="G47" s="1720"/>
      <c r="H47" s="1217"/>
      <c r="I47" s="1218"/>
      <c r="J47" s="1218"/>
      <c r="K47" s="1218"/>
      <c r="L47" s="1218"/>
      <c r="M47" s="1219"/>
      <c r="N47" s="938" t="s">
        <v>23</v>
      </c>
      <c r="O47" s="1243"/>
      <c r="P47" s="1713"/>
      <c r="Q47" s="1666"/>
      <c r="R47" s="1166"/>
      <c r="S47" s="1649"/>
      <c r="T47" s="1423"/>
      <c r="U47" s="1740"/>
      <c r="V47" s="1289" t="s">
        <v>23</v>
      </c>
      <c r="W47" s="1243"/>
      <c r="X47" s="1713"/>
      <c r="Y47" s="1720"/>
      <c r="Z47" s="1005" t="s">
        <v>24</v>
      </c>
      <c r="AA47" s="1182"/>
      <c r="AB47" s="69"/>
      <c r="AC47" s="69"/>
      <c r="AD47" s="69"/>
      <c r="AE47" s="723"/>
    </row>
    <row r="48" spans="1:33" ht="33.75" customHeight="1" x14ac:dyDescent="0.25">
      <c r="A48" s="1161" t="s">
        <v>9</v>
      </c>
      <c r="B48" s="1745"/>
      <c r="C48" s="1666"/>
      <c r="D48" s="1747"/>
      <c r="E48" s="1734"/>
      <c r="F48" s="1166"/>
      <c r="G48" s="1720"/>
      <c r="H48" s="1217"/>
      <c r="I48" s="1218"/>
      <c r="J48" s="1218"/>
      <c r="K48" s="1218"/>
      <c r="L48" s="1218"/>
      <c r="M48" s="1219"/>
      <c r="N48" s="1289"/>
      <c r="O48" s="1243"/>
      <c r="P48" s="1713"/>
      <c r="Q48" s="1666"/>
      <c r="R48" s="1166"/>
      <c r="S48" s="1649"/>
      <c r="T48" s="1423"/>
      <c r="U48" s="1740"/>
      <c r="V48" s="1289"/>
      <c r="W48" s="1243"/>
      <c r="X48" s="1713"/>
      <c r="Y48" s="1720"/>
      <c r="Z48" s="1005"/>
      <c r="AA48" s="1182"/>
      <c r="AB48" s="69"/>
      <c r="AC48" s="69"/>
      <c r="AD48" s="69"/>
      <c r="AE48" s="723"/>
    </row>
    <row r="49" spans="1:31" ht="33.75" customHeight="1" thickBot="1" x14ac:dyDescent="0.3">
      <c r="A49" s="1238"/>
      <c r="B49" s="1746"/>
      <c r="C49" s="1666"/>
      <c r="D49" s="1747"/>
      <c r="E49" s="1735"/>
      <c r="F49" s="1167"/>
      <c r="G49" s="1721"/>
      <c r="H49" s="1220"/>
      <c r="I49" s="1221"/>
      <c r="J49" s="1221"/>
      <c r="K49" s="1221"/>
      <c r="L49" s="1221"/>
      <c r="M49" s="1222"/>
      <c r="N49" s="1409"/>
      <c r="O49" s="1732"/>
      <c r="P49" s="1723"/>
      <c r="Q49" s="1667"/>
      <c r="R49" s="1167"/>
      <c r="S49" s="1650"/>
      <c r="T49" s="1480"/>
      <c r="U49" s="1741"/>
      <c r="V49" s="1409"/>
      <c r="W49" s="1732"/>
      <c r="X49" s="1723"/>
      <c r="Y49" s="1721"/>
      <c r="Z49" s="1006"/>
      <c r="AA49" s="1425"/>
      <c r="AB49" s="219"/>
      <c r="AC49" s="219"/>
      <c r="AD49" s="219"/>
      <c r="AE49" s="724"/>
    </row>
    <row r="50" spans="1:31" ht="41.25" customHeight="1" thickBot="1" x14ac:dyDescent="0.3">
      <c r="C50" s="226"/>
      <c r="D50" s="226"/>
      <c r="E50" s="226"/>
      <c r="W50" s="226"/>
      <c r="Z50" s="226"/>
      <c r="AA50" s="226"/>
    </row>
    <row r="51" spans="1:31" ht="18.75" customHeight="1" x14ac:dyDescent="0.25">
      <c r="A51" s="1033" t="s">
        <v>214</v>
      </c>
      <c r="B51" s="935"/>
      <c r="C51" s="934" t="s">
        <v>215</v>
      </c>
      <c r="D51" s="934"/>
      <c r="E51" s="934"/>
      <c r="F51" s="934"/>
      <c r="G51" s="934"/>
      <c r="H51" s="934"/>
      <c r="I51" s="934"/>
      <c r="J51" s="934"/>
      <c r="K51" s="934"/>
      <c r="L51" s="58"/>
      <c r="M51" s="1034" t="s">
        <v>301</v>
      </c>
      <c r="N51" s="1035"/>
      <c r="O51" s="934" t="s">
        <v>139</v>
      </c>
      <c r="P51" s="935"/>
      <c r="Q51" s="934" t="s">
        <v>163</v>
      </c>
      <c r="R51" s="934"/>
      <c r="S51" s="934"/>
      <c r="T51" s="934"/>
      <c r="U51" s="934"/>
      <c r="V51" s="934"/>
      <c r="W51" s="934"/>
      <c r="X51" s="934"/>
      <c r="Y51" s="934"/>
      <c r="Z51" s="934"/>
      <c r="AA51" s="934"/>
      <c r="AB51" s="934"/>
      <c r="AC51" s="934"/>
      <c r="AD51" s="934"/>
      <c r="AE51" s="935"/>
    </row>
    <row r="52" spans="1:31" ht="13.8" x14ac:dyDescent="0.25">
      <c r="A52" s="1188" t="str">
        <f>VLOOKUP(M52,ASIGNATURAS!$F$1:$L$1022, 3, FALSE)</f>
        <v>MATERIALES</v>
      </c>
      <c r="B52" s="1189"/>
      <c r="C52" s="981" t="str">
        <f>VLOOKUP(M52,ASIGNATURAS!$F$1:$L$1022, 4, FALSE)</f>
        <v>Ciencia de Materiales: Est. y propiedades</v>
      </c>
      <c r="D52" s="982"/>
      <c r="E52" s="982"/>
      <c r="F52" s="982"/>
      <c r="G52" s="982"/>
      <c r="H52" s="982"/>
      <c r="I52" s="982"/>
      <c r="J52" s="982"/>
      <c r="K52" s="982"/>
      <c r="L52" s="983"/>
      <c r="M52" s="936">
        <v>6397</v>
      </c>
      <c r="N52" s="937"/>
      <c r="O52" s="936">
        <f>VLOOKUP(M52,ASIGNATURAS!$F$1:$L$1022, 5, FALSE)</f>
        <v>6</v>
      </c>
      <c r="P52" s="937"/>
      <c r="Q52" s="981" t="str">
        <f>VLOOKUP(M52,ASIGNATURAS!$F$1:$L$1022, 6, FALSE)</f>
        <v xml:space="preserve">Mónica Preciado Calzada </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AMP. CALCULO</v>
      </c>
      <c r="B53" s="1189"/>
      <c r="C53" s="981" t="str">
        <f>VLOOKUP(M53,ASIGNATURAS!$F$1:$L$1022, 4, FALSE)</f>
        <v>Ampliación de Cálculo y Geometría</v>
      </c>
      <c r="D53" s="982"/>
      <c r="E53" s="982"/>
      <c r="F53" s="982"/>
      <c r="G53" s="982"/>
      <c r="H53" s="982"/>
      <c r="I53" s="982"/>
      <c r="J53" s="982"/>
      <c r="K53" s="982"/>
      <c r="L53" s="983"/>
      <c r="M53" s="936">
        <v>6398</v>
      </c>
      <c r="N53" s="937"/>
      <c r="O53" s="936">
        <f>VLOOKUP(M53,ASIGNATURAS!$F$1:$L$1022, 5, FALSE)</f>
        <v>6</v>
      </c>
      <c r="P53" s="937"/>
      <c r="Q53" s="981" t="str">
        <f>VLOOKUP(M53,ASIGNATURAS!$F$1:$L$1022, 6, FALSE)</f>
        <v>Antonio Manzano, Leticia Sainz</v>
      </c>
      <c r="R53" s="982"/>
      <c r="S53" s="982"/>
      <c r="T53" s="982"/>
      <c r="U53" s="982"/>
      <c r="V53" s="982"/>
      <c r="W53" s="982"/>
      <c r="X53" s="982"/>
      <c r="Y53" s="982"/>
      <c r="Z53" s="982"/>
      <c r="AA53" s="982"/>
      <c r="AB53" s="982"/>
      <c r="AC53" s="982"/>
      <c r="AD53" s="982"/>
      <c r="AE53" s="983"/>
    </row>
    <row r="54" spans="1:31" ht="13.8" x14ac:dyDescent="0.25">
      <c r="A54" s="1188" t="str">
        <f>VLOOKUP(M54,ASIGNATURAS!$F$1:$L$1022, 3, FALSE)</f>
        <v>FISICA II</v>
      </c>
      <c r="B54" s="1189"/>
      <c r="C54" s="981" t="str">
        <f>VLOOKUP(M54,ASIGNATURAS!$F$1:$L$1022, 4, FALSE)</f>
        <v>Física II</v>
      </c>
      <c r="D54" s="982"/>
      <c r="E54" s="982"/>
      <c r="F54" s="982"/>
      <c r="G54" s="982"/>
      <c r="H54" s="982"/>
      <c r="I54" s="982"/>
      <c r="J54" s="982"/>
      <c r="K54" s="982"/>
      <c r="L54" s="983"/>
      <c r="M54" s="936">
        <v>6399</v>
      </c>
      <c r="N54" s="937"/>
      <c r="O54" s="936">
        <f>VLOOKUP(M54,ASIGNATURAS!$F$1:$L$1022, 5, FALSE)</f>
        <v>6</v>
      </c>
      <c r="P54" s="937"/>
      <c r="Q54" s="981" t="str">
        <f>VLOOKUP(M54,ASIGNATURAS!$F$1:$L$1022, 6, FALSE)</f>
        <v>Maria Felicidad Bogalo Roman</v>
      </c>
      <c r="R54" s="982"/>
      <c r="S54" s="982"/>
      <c r="T54" s="982"/>
      <c r="U54" s="982"/>
      <c r="V54" s="982"/>
      <c r="W54" s="982"/>
      <c r="X54" s="982"/>
      <c r="Y54" s="982"/>
      <c r="Z54" s="982"/>
      <c r="AA54" s="982"/>
      <c r="AB54" s="982"/>
      <c r="AC54" s="982"/>
      <c r="AD54" s="982"/>
      <c r="AE54" s="983"/>
    </row>
    <row r="55" spans="1:31" ht="13.8" x14ac:dyDescent="0.25">
      <c r="A55" s="1188" t="str">
        <f>VLOOKUP(M55,ASIGNATURAS!$F$1:$L$1022, 3, FALSE)</f>
        <v>QUIMICA</v>
      </c>
      <c r="B55" s="1189"/>
      <c r="C55" s="981" t="str">
        <f>VLOOKUP(M55,ASIGNATURAS!$F$1:$L$1022, 4, FALSE)</f>
        <v>Química</v>
      </c>
      <c r="D55" s="982"/>
      <c r="E55" s="982"/>
      <c r="F55" s="982"/>
      <c r="G55" s="982"/>
      <c r="H55" s="982"/>
      <c r="I55" s="982"/>
      <c r="J55" s="982"/>
      <c r="K55" s="982"/>
      <c r="L55" s="983"/>
      <c r="M55" s="936">
        <v>6400</v>
      </c>
      <c r="N55" s="937"/>
      <c r="O55" s="936">
        <f>VLOOKUP(M55,ASIGNATURAS!$F$1:$L$1022, 5, FALSE)</f>
        <v>6</v>
      </c>
      <c r="P55" s="937"/>
      <c r="Q55" s="981" t="str">
        <f>VLOOKUP(M55,ASIGNATURAS!$F$1:$L$1022, 6, FALSE)</f>
        <v>Rafael Alcalde García, Santiago Aparicio</v>
      </c>
      <c r="R55" s="982"/>
      <c r="S55" s="982"/>
      <c r="T55" s="982"/>
      <c r="U55" s="982"/>
      <c r="V55" s="982"/>
      <c r="W55" s="982"/>
      <c r="X55" s="982"/>
      <c r="Y55" s="982"/>
      <c r="Z55" s="982"/>
      <c r="AA55" s="982"/>
      <c r="AB55" s="982"/>
      <c r="AC55" s="982"/>
      <c r="AD55" s="982"/>
      <c r="AE55" s="983"/>
    </row>
    <row r="56" spans="1:31" ht="14.4" thickBot="1" x14ac:dyDescent="0.3">
      <c r="A56" s="1201" t="str">
        <f>VLOOKUP(M56,ASIGNATURAS!$F$1:$L$1022, 3, FALSE)</f>
        <v>ECONOMIA</v>
      </c>
      <c r="B56" s="1372"/>
      <c r="C56" s="1022" t="str">
        <f>VLOOKUP(M56,ASIGNATURAS!$F$1:$L$1022, 4, FALSE)</f>
        <v>Economía de la Empresa</v>
      </c>
      <c r="D56" s="1023"/>
      <c r="E56" s="1023"/>
      <c r="F56" s="1023"/>
      <c r="G56" s="1023"/>
      <c r="H56" s="1023"/>
      <c r="I56" s="1023"/>
      <c r="J56" s="1023"/>
      <c r="K56" s="1023"/>
      <c r="L56" s="1024"/>
      <c r="M56" s="1295">
        <v>6401</v>
      </c>
      <c r="N56" s="1296"/>
      <c r="O56" s="1295">
        <f>VLOOKUP(M56,ASIGNATURAS!$F$1:$L$1022, 5, FALSE)</f>
        <v>6</v>
      </c>
      <c r="P56" s="1296"/>
      <c r="Q56" s="1022" t="str">
        <f>VLOOKUP(M56,ASIGNATURAS!$F$1:$L$1022, 6, FALSE)</f>
        <v>María Teresa Peña Pérez</v>
      </c>
      <c r="R56" s="1023"/>
      <c r="S56" s="1023"/>
      <c r="T56" s="1023"/>
      <c r="U56" s="1023"/>
      <c r="V56" s="1023"/>
      <c r="W56" s="1023"/>
      <c r="X56" s="1023"/>
      <c r="Y56" s="1023"/>
      <c r="Z56" s="1023"/>
      <c r="AA56" s="1023"/>
      <c r="AB56" s="1023"/>
      <c r="AC56" s="1023"/>
      <c r="AD56" s="1023"/>
      <c r="AE56" s="1024"/>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145" t="s">
        <v>1005</v>
      </c>
      <c r="B59" s="1145"/>
      <c r="C59" s="1145"/>
      <c r="D59" s="1145"/>
      <c r="E59" s="1145"/>
    </row>
    <row r="60" spans="1:31" ht="24" customHeight="1" x14ac:dyDescent="0.25">
      <c r="A60" s="1148" t="s">
        <v>1007</v>
      </c>
      <c r="B60" s="1148"/>
      <c r="C60" s="1148"/>
      <c r="D60" s="1148"/>
      <c r="E60" s="1148"/>
    </row>
    <row r="62" spans="1:31" x14ac:dyDescent="0.25">
      <c r="A62" s="25" t="s">
        <v>213</v>
      </c>
    </row>
    <row r="63" spans="1:31" ht="13.8" thickBot="1" x14ac:dyDescent="0.3"/>
    <row r="64" spans="1:31" s="1" customFormat="1" ht="31.5" customHeight="1" thickBot="1" x14ac:dyDescent="0.45">
      <c r="A64" s="1135" t="str">
        <f>VLOOKUP(A67,ASIGNATURAS!$A$2:$D$151, 3, FALSE)</f>
        <v>2º Grado en Ingeniería Electrónica Industrial y Automática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Z33</f>
        <v>Curso 2024-2025</v>
      </c>
      <c r="AA64" s="1065"/>
      <c r="AB64" s="1065"/>
      <c r="AC64" s="1065"/>
      <c r="AD64" s="1065"/>
      <c r="AE64" s="1066"/>
    </row>
    <row r="65" spans="1:48" s="8" customFormat="1" ht="23.25" customHeight="1" thickBot="1" x14ac:dyDescent="0.45">
      <c r="A65" s="1132" t="str">
        <f>VLOOKUP(A67,ASIGNATURAS!$A$2:$D$151, 2, FALSE)</f>
        <v>Semestre temporal: 1º        (3º Semestre Académico)</v>
      </c>
      <c r="B65" s="1248"/>
      <c r="C65" s="1248"/>
      <c r="D65" s="1248"/>
      <c r="E65" s="1248"/>
      <c r="F65" s="1248"/>
      <c r="G65" s="1248"/>
      <c r="H65" s="1248"/>
      <c r="I65" s="1248"/>
      <c r="J65" s="1248"/>
      <c r="K65" s="1248"/>
      <c r="L65" s="1248"/>
      <c r="M65" s="1248"/>
      <c r="N65" s="1248"/>
      <c r="O65" s="1248"/>
      <c r="P65" s="1248"/>
      <c r="Q65" s="1248"/>
      <c r="R65" s="1248"/>
      <c r="S65" s="1248"/>
      <c r="T65" s="1248"/>
      <c r="U65" s="1248"/>
      <c r="V65" s="1248"/>
      <c r="W65" s="1248"/>
      <c r="X65" s="1248"/>
      <c r="Y65" s="1249"/>
      <c r="Z65" s="1013" t="s">
        <v>157</v>
      </c>
      <c r="AA65" s="1013"/>
      <c r="AB65" s="1013"/>
      <c r="AC65" s="1013"/>
      <c r="AD65" s="1013"/>
      <c r="AE65" s="1014"/>
    </row>
    <row r="66" spans="1:48" s="8" customFormat="1" ht="23.25" customHeight="1" thickBot="1" x14ac:dyDescent="0.45">
      <c r="A66" s="1132" t="s">
        <v>177</v>
      </c>
      <c r="B66" s="1132"/>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725"/>
      <c r="AA66" s="1725"/>
      <c r="AB66" s="1725"/>
      <c r="AC66" s="1725"/>
      <c r="AD66" s="1725"/>
      <c r="AE66" s="1726"/>
    </row>
    <row r="67" spans="1:48" ht="38.25" customHeight="1" thickBot="1" x14ac:dyDescent="0.3">
      <c r="A67" s="90" t="s">
        <v>52</v>
      </c>
      <c r="B67" s="33"/>
      <c r="AE67" s="32"/>
    </row>
    <row r="68" spans="1:48" s="2" customFormat="1" ht="24" customHeight="1" thickBot="1" x14ac:dyDescent="0.3">
      <c r="A68" s="89" t="s">
        <v>1</v>
      </c>
      <c r="B68" s="975" t="s">
        <v>2</v>
      </c>
      <c r="C68" s="976"/>
      <c r="D68" s="976"/>
      <c r="E68" s="976"/>
      <c r="F68" s="976"/>
      <c r="G68" s="977"/>
      <c r="H68" s="975" t="s">
        <v>3</v>
      </c>
      <c r="I68" s="976"/>
      <c r="J68" s="976"/>
      <c r="K68" s="976"/>
      <c r="L68" s="976"/>
      <c r="M68" s="977"/>
      <c r="N68" s="975" t="s">
        <v>135</v>
      </c>
      <c r="O68" s="976"/>
      <c r="P68" s="976"/>
      <c r="Q68" s="976"/>
      <c r="R68" s="976"/>
      <c r="S68" s="977"/>
      <c r="T68" s="975" t="s">
        <v>4</v>
      </c>
      <c r="U68" s="976"/>
      <c r="V68" s="976"/>
      <c r="W68" s="976"/>
      <c r="X68" s="976"/>
      <c r="Y68" s="977"/>
      <c r="Z68" s="975" t="s">
        <v>5</v>
      </c>
      <c r="AA68" s="976"/>
      <c r="AB68" s="976"/>
      <c r="AC68" s="976"/>
      <c r="AD68" s="976"/>
      <c r="AE68" s="977"/>
    </row>
    <row r="69" spans="1:48" ht="30" customHeight="1" x14ac:dyDescent="0.25">
      <c r="A69" s="1128" t="s">
        <v>1091</v>
      </c>
      <c r="B69" s="1192" t="s">
        <v>246</v>
      </c>
      <c r="C69" s="938" t="s">
        <v>569</v>
      </c>
      <c r="D69" s="1182" t="s">
        <v>157</v>
      </c>
      <c r="E69" s="1289" t="s">
        <v>474</v>
      </c>
      <c r="F69" s="938" t="s">
        <v>570</v>
      </c>
      <c r="G69" s="989" t="s">
        <v>555</v>
      </c>
      <c r="H69" s="1075" t="s">
        <v>1338</v>
      </c>
      <c r="I69" s="938" t="s">
        <v>569</v>
      </c>
      <c r="J69" s="1182" t="s">
        <v>1257</v>
      </c>
      <c r="K69" s="1289" t="s">
        <v>28</v>
      </c>
      <c r="L69" s="938" t="s">
        <v>570</v>
      </c>
      <c r="M69" s="989" t="s">
        <v>1062</v>
      </c>
      <c r="N69" s="1075" t="s">
        <v>474</v>
      </c>
      <c r="O69" s="938" t="s">
        <v>569</v>
      </c>
      <c r="P69" s="1182" t="s">
        <v>555</v>
      </c>
      <c r="Q69" s="1289" t="s">
        <v>246</v>
      </c>
      <c r="R69" s="938" t="s">
        <v>570</v>
      </c>
      <c r="S69" s="989" t="s">
        <v>157</v>
      </c>
      <c r="T69" s="1075" t="s">
        <v>28</v>
      </c>
      <c r="U69" s="938" t="s">
        <v>569</v>
      </c>
      <c r="V69" s="1711" t="s">
        <v>1062</v>
      </c>
      <c r="W69" s="1289" t="s">
        <v>1338</v>
      </c>
      <c r="X69" s="938" t="s">
        <v>570</v>
      </c>
      <c r="Y69" s="1182" t="s">
        <v>1257</v>
      </c>
      <c r="Z69" s="1423"/>
      <c r="AA69" s="1166"/>
      <c r="AB69" s="1666"/>
      <c r="AC69" s="1713"/>
      <c r="AD69" s="1166"/>
      <c r="AE69" s="1649"/>
    </row>
    <row r="70" spans="1:48" ht="30" customHeight="1" x14ac:dyDescent="0.25">
      <c r="A70" s="1105"/>
      <c r="B70" s="1192"/>
      <c r="C70" s="938"/>
      <c r="D70" s="1182"/>
      <c r="E70" s="1289"/>
      <c r="F70" s="938"/>
      <c r="G70" s="989"/>
      <c r="H70" s="1075"/>
      <c r="I70" s="938"/>
      <c r="J70" s="1182"/>
      <c r="K70" s="1289"/>
      <c r="L70" s="938"/>
      <c r="M70" s="989"/>
      <c r="N70" s="1075"/>
      <c r="O70" s="938"/>
      <c r="P70" s="1182"/>
      <c r="Q70" s="1289"/>
      <c r="R70" s="938"/>
      <c r="S70" s="989"/>
      <c r="T70" s="1075"/>
      <c r="U70" s="938"/>
      <c r="V70" s="1711"/>
      <c r="W70" s="1289"/>
      <c r="X70" s="938"/>
      <c r="Y70" s="1182"/>
      <c r="Z70" s="1423"/>
      <c r="AA70" s="1166"/>
      <c r="AB70" s="1666"/>
      <c r="AC70" s="1713"/>
      <c r="AD70" s="1166"/>
      <c r="AE70" s="1649"/>
    </row>
    <row r="71" spans="1:48" ht="30" customHeight="1" x14ac:dyDescent="0.25">
      <c r="A71" s="1100" t="s">
        <v>183</v>
      </c>
      <c r="B71" s="1192"/>
      <c r="C71" s="938"/>
      <c r="D71" s="1182"/>
      <c r="E71" s="1289"/>
      <c r="F71" s="938"/>
      <c r="G71" s="989"/>
      <c r="H71" s="1075"/>
      <c r="I71" s="938"/>
      <c r="J71" s="1182"/>
      <c r="K71" s="1289"/>
      <c r="L71" s="938"/>
      <c r="M71" s="989"/>
      <c r="N71" s="1075"/>
      <c r="O71" s="938"/>
      <c r="P71" s="1182"/>
      <c r="Q71" s="1289"/>
      <c r="R71" s="938"/>
      <c r="S71" s="989"/>
      <c r="T71" s="1075"/>
      <c r="U71" s="938"/>
      <c r="V71" s="1711"/>
      <c r="W71" s="1289"/>
      <c r="X71" s="938"/>
      <c r="Y71" s="1182"/>
      <c r="Z71" s="1423"/>
      <c r="AA71" s="1166"/>
      <c r="AB71" s="1666"/>
      <c r="AC71" s="1713"/>
      <c r="AD71" s="1166"/>
      <c r="AE71" s="1649"/>
    </row>
    <row r="72" spans="1:48" ht="30" customHeight="1" x14ac:dyDescent="0.25">
      <c r="A72" s="1105"/>
      <c r="B72" s="1193"/>
      <c r="C72" s="1053"/>
      <c r="D72" s="1425"/>
      <c r="E72" s="1290"/>
      <c r="F72" s="1053"/>
      <c r="G72" s="1653"/>
      <c r="H72" s="1265"/>
      <c r="I72" s="1053"/>
      <c r="J72" s="1425"/>
      <c r="K72" s="1290"/>
      <c r="L72" s="1053"/>
      <c r="M72" s="1653"/>
      <c r="N72" s="1265"/>
      <c r="O72" s="1053"/>
      <c r="P72" s="1425"/>
      <c r="Q72" s="1290"/>
      <c r="R72" s="1053"/>
      <c r="S72" s="1653"/>
      <c r="T72" s="1265"/>
      <c r="U72" s="1053"/>
      <c r="V72" s="1712"/>
      <c r="W72" s="1290"/>
      <c r="X72" s="1053"/>
      <c r="Y72" s="1425"/>
      <c r="Z72" s="1536"/>
      <c r="AA72" s="1397"/>
      <c r="AB72" s="1742"/>
      <c r="AC72" s="1714"/>
      <c r="AD72" s="1397"/>
      <c r="AE72" s="1708"/>
    </row>
    <row r="73" spans="1:48" ht="30" customHeight="1" x14ac:dyDescent="0.3">
      <c r="A73" s="1321" t="s">
        <v>182</v>
      </c>
      <c r="B73" s="963" t="s">
        <v>474</v>
      </c>
      <c r="C73" s="957"/>
      <c r="D73" s="957"/>
      <c r="E73" s="957"/>
      <c r="F73" s="957"/>
      <c r="G73" s="958"/>
      <c r="H73" s="963" t="s">
        <v>1203</v>
      </c>
      <c r="I73" s="957"/>
      <c r="J73" s="957"/>
      <c r="K73" s="957"/>
      <c r="L73" s="957"/>
      <c r="M73" s="958"/>
      <c r="N73" s="957" t="s">
        <v>474</v>
      </c>
      <c r="O73" s="957"/>
      <c r="P73" s="957"/>
      <c r="Q73" s="957"/>
      <c r="R73" s="957"/>
      <c r="S73" s="957"/>
      <c r="T73" s="963" t="s">
        <v>28</v>
      </c>
      <c r="U73" s="957"/>
      <c r="V73" s="957"/>
      <c r="W73" s="957"/>
      <c r="X73" s="957"/>
      <c r="Y73" s="958"/>
      <c r="Z73" s="1020"/>
      <c r="AA73" s="1020"/>
      <c r="AB73" s="1020"/>
      <c r="AC73" s="1020"/>
      <c r="AD73" s="1020"/>
      <c r="AE73" s="1063"/>
      <c r="AH73" s="20"/>
    </row>
    <row r="74" spans="1:48" ht="30" customHeight="1" x14ac:dyDescent="0.25">
      <c r="A74" s="1321"/>
      <c r="B74" s="951" t="s">
        <v>157</v>
      </c>
      <c r="C74" s="952"/>
      <c r="D74" s="952"/>
      <c r="E74" s="952"/>
      <c r="F74" s="952"/>
      <c r="G74" s="953"/>
      <c r="H74" s="951" t="s">
        <v>157</v>
      </c>
      <c r="I74" s="952"/>
      <c r="J74" s="952"/>
      <c r="K74" s="952"/>
      <c r="L74" s="952"/>
      <c r="M74" s="953"/>
      <c r="N74" s="951" t="s">
        <v>157</v>
      </c>
      <c r="O74" s="952"/>
      <c r="P74" s="952"/>
      <c r="Q74" s="952"/>
      <c r="R74" s="952"/>
      <c r="S74" s="953"/>
      <c r="T74" s="951" t="s">
        <v>157</v>
      </c>
      <c r="U74" s="952"/>
      <c r="V74" s="952"/>
      <c r="W74" s="952"/>
      <c r="X74" s="952"/>
      <c r="Y74" s="953"/>
      <c r="Z74" s="964"/>
      <c r="AA74" s="965"/>
      <c r="AB74" s="965"/>
      <c r="AC74" s="965"/>
      <c r="AD74" s="965"/>
      <c r="AE74" s="1027"/>
      <c r="AH74" s="20"/>
    </row>
    <row r="75" spans="1:48" ht="30" customHeight="1" x14ac:dyDescent="0.3">
      <c r="A75" s="1105" t="s">
        <v>184</v>
      </c>
      <c r="B75" s="957" t="s">
        <v>246</v>
      </c>
      <c r="C75" s="957"/>
      <c r="D75" s="957"/>
      <c r="E75" s="957"/>
      <c r="F75" s="957"/>
      <c r="G75" s="958"/>
      <c r="H75" s="957" t="s">
        <v>28</v>
      </c>
      <c r="I75" s="957"/>
      <c r="J75" s="957"/>
      <c r="K75" s="957"/>
      <c r="L75" s="957"/>
      <c r="M75" s="958"/>
      <c r="N75" s="963" t="s">
        <v>246</v>
      </c>
      <c r="O75" s="957"/>
      <c r="P75" s="957"/>
      <c r="Q75" s="957"/>
      <c r="R75" s="957"/>
      <c r="S75" s="958"/>
      <c r="T75" s="963" t="s">
        <v>1203</v>
      </c>
      <c r="U75" s="957"/>
      <c r="V75" s="957"/>
      <c r="W75" s="957"/>
      <c r="X75" s="957"/>
      <c r="Y75" s="957"/>
      <c r="Z75" s="1062"/>
      <c r="AA75" s="1020"/>
      <c r="AB75" s="1020"/>
      <c r="AC75" s="1020"/>
      <c r="AD75" s="1020"/>
      <c r="AE75" s="1063"/>
    </row>
    <row r="76" spans="1:48" ht="30" customHeight="1" x14ac:dyDescent="0.25">
      <c r="A76" s="1321"/>
      <c r="B76" s="952" t="s">
        <v>157</v>
      </c>
      <c r="C76" s="952"/>
      <c r="D76" s="952"/>
      <c r="E76" s="952"/>
      <c r="F76" s="952"/>
      <c r="G76" s="953"/>
      <c r="H76" s="951" t="s">
        <v>157</v>
      </c>
      <c r="I76" s="952"/>
      <c r="J76" s="952"/>
      <c r="K76" s="952"/>
      <c r="L76" s="952"/>
      <c r="M76" s="953"/>
      <c r="N76" s="951" t="s">
        <v>157</v>
      </c>
      <c r="O76" s="952"/>
      <c r="P76" s="952"/>
      <c r="Q76" s="952"/>
      <c r="R76" s="952"/>
      <c r="S76" s="953"/>
      <c r="T76" s="951" t="s">
        <v>157</v>
      </c>
      <c r="U76" s="952"/>
      <c r="V76" s="952"/>
      <c r="W76" s="952"/>
      <c r="X76" s="952"/>
      <c r="Y76" s="953"/>
      <c r="Z76" s="964"/>
      <c r="AA76" s="965"/>
      <c r="AB76" s="965"/>
      <c r="AC76" s="965"/>
      <c r="AD76" s="965"/>
      <c r="AE76" s="1027"/>
    </row>
    <row r="77" spans="1:48" ht="30" customHeight="1" x14ac:dyDescent="0.3">
      <c r="A77" s="1105" t="s">
        <v>185</v>
      </c>
      <c r="B77" s="957" t="s">
        <v>1338</v>
      </c>
      <c r="C77" s="957"/>
      <c r="D77" s="957"/>
      <c r="E77" s="957"/>
      <c r="F77" s="957"/>
      <c r="G77" s="958"/>
      <c r="H77" s="1408" t="s">
        <v>1203</v>
      </c>
      <c r="I77" s="1223" t="s">
        <v>570</v>
      </c>
      <c r="J77" s="1657" t="s">
        <v>145</v>
      </c>
      <c r="M77" s="785"/>
      <c r="Q77" s="1722"/>
      <c r="R77" s="1166"/>
      <c r="S77" s="1715"/>
      <c r="T77" s="1467" t="s">
        <v>1203</v>
      </c>
      <c r="U77" s="1223" t="s">
        <v>569</v>
      </c>
      <c r="V77" s="1657" t="s">
        <v>145</v>
      </c>
      <c r="Z77" s="1423"/>
      <c r="AA77" s="1166"/>
      <c r="AB77" s="1666"/>
      <c r="AC77" s="1166"/>
      <c r="AD77" s="1166"/>
      <c r="AE77" s="1649"/>
      <c r="AQ77" s="995"/>
      <c r="AR77" s="995"/>
      <c r="AS77" s="995"/>
      <c r="AT77" s="995"/>
      <c r="AU77" s="995"/>
      <c r="AV77" s="995"/>
    </row>
    <row r="78" spans="1:48" ht="30" customHeight="1" x14ac:dyDescent="0.25">
      <c r="A78" s="1321"/>
      <c r="B78" s="951" t="s">
        <v>157</v>
      </c>
      <c r="C78" s="952"/>
      <c r="D78" s="952"/>
      <c r="E78" s="952"/>
      <c r="F78" s="952"/>
      <c r="G78" s="953"/>
      <c r="H78" s="1289"/>
      <c r="I78" s="938"/>
      <c r="J78" s="1182"/>
      <c r="M78" s="32"/>
      <c r="Q78" s="1713"/>
      <c r="R78" s="1166"/>
      <c r="S78" s="1715"/>
      <c r="T78" s="1075"/>
      <c r="U78" s="938"/>
      <c r="V78" s="1182"/>
      <c r="Z78" s="1423"/>
      <c r="AA78" s="1166"/>
      <c r="AB78" s="1666"/>
      <c r="AC78" s="1166"/>
      <c r="AD78" s="1166"/>
      <c r="AE78" s="1649"/>
      <c r="AQ78" s="997"/>
      <c r="AR78" s="997"/>
      <c r="AS78" s="997"/>
      <c r="AT78" s="997"/>
      <c r="AU78" s="997"/>
      <c r="AV78" s="997"/>
    </row>
    <row r="79" spans="1:48" ht="30" customHeight="1" x14ac:dyDescent="0.3">
      <c r="A79" s="1486" t="s">
        <v>186</v>
      </c>
      <c r="B79" s="963" t="s">
        <v>1338</v>
      </c>
      <c r="C79" s="957"/>
      <c r="D79" s="957"/>
      <c r="E79" s="957"/>
      <c r="F79" s="957"/>
      <c r="G79" s="958"/>
      <c r="H79" s="1289"/>
      <c r="I79" s="938"/>
      <c r="J79" s="1182"/>
      <c r="K79" s="20"/>
      <c r="L79" s="20"/>
      <c r="M79" s="361"/>
      <c r="Q79" s="1713"/>
      <c r="R79" s="1166"/>
      <c r="S79" s="1715"/>
      <c r="T79" s="1075"/>
      <c r="U79" s="938"/>
      <c r="V79" s="1182"/>
      <c r="W79" s="20"/>
      <c r="X79" s="20"/>
      <c r="Y79" s="200"/>
      <c r="Z79" s="1423"/>
      <c r="AA79" s="1166"/>
      <c r="AB79" s="1666"/>
      <c r="AC79" s="1166"/>
      <c r="AD79" s="1166"/>
      <c r="AE79" s="1649"/>
      <c r="AF79" s="33"/>
    </row>
    <row r="80" spans="1:48" ht="30" customHeight="1" thickBot="1" x14ac:dyDescent="0.3">
      <c r="A80" s="1483"/>
      <c r="B80" s="1115" t="s">
        <v>157</v>
      </c>
      <c r="C80" s="1116"/>
      <c r="D80" s="1116"/>
      <c r="E80" s="1116"/>
      <c r="F80" s="1116"/>
      <c r="G80" s="1117"/>
      <c r="H80" s="1409"/>
      <c r="I80" s="1393"/>
      <c r="J80" s="1658"/>
      <c r="K80" s="414"/>
      <c r="L80" s="414"/>
      <c r="M80" s="619"/>
      <c r="P80" s="220"/>
      <c r="Q80" s="1723"/>
      <c r="R80" s="1167"/>
      <c r="S80" s="1724"/>
      <c r="T80" s="1482"/>
      <c r="U80" s="1393"/>
      <c r="V80" s="1658"/>
      <c r="W80" s="414"/>
      <c r="X80" s="414"/>
      <c r="Y80" s="495"/>
      <c r="Z80" s="1480"/>
      <c r="AA80" s="1167"/>
      <c r="AB80" s="1667"/>
      <c r="AC80" s="1167"/>
      <c r="AD80" s="1167"/>
      <c r="AE80" s="1650"/>
    </row>
    <row r="81" spans="1:31" ht="41.25" customHeight="1" thickBot="1" x14ac:dyDescent="0.3">
      <c r="A81" s="226"/>
      <c r="N81" s="226"/>
      <c r="O81" s="226"/>
    </row>
    <row r="82" spans="1:31" ht="18.75" customHeight="1" x14ac:dyDescent="0.25">
      <c r="A82" s="1033" t="s">
        <v>214</v>
      </c>
      <c r="B82" s="935"/>
      <c r="C82" s="934" t="s">
        <v>215</v>
      </c>
      <c r="D82" s="934"/>
      <c r="E82" s="934"/>
      <c r="F82" s="934"/>
      <c r="G82" s="934"/>
      <c r="H82" s="934"/>
      <c r="I82" s="934"/>
      <c r="J82" s="934"/>
      <c r="K82" s="934"/>
      <c r="L82" s="58"/>
      <c r="M82" s="1034" t="s">
        <v>302</v>
      </c>
      <c r="N82" s="1035"/>
      <c r="O82" s="934" t="s">
        <v>139</v>
      </c>
      <c r="P82" s="935"/>
      <c r="Q82" s="934" t="s">
        <v>163</v>
      </c>
      <c r="R82" s="934"/>
      <c r="S82" s="934"/>
      <c r="T82" s="934"/>
      <c r="U82" s="934"/>
      <c r="V82" s="934"/>
      <c r="W82" s="934"/>
      <c r="X82" s="934"/>
      <c r="Y82" s="934"/>
      <c r="Z82" s="934"/>
      <c r="AA82" s="934"/>
      <c r="AB82" s="934"/>
      <c r="AC82" s="934"/>
      <c r="AD82" s="934"/>
      <c r="AE82" s="935"/>
    </row>
    <row r="83" spans="1:31" ht="13.8" x14ac:dyDescent="0.25">
      <c r="A83" s="1188" t="str">
        <f>VLOOKUP(M83,ASIGNATURAS!$F$1:$L$1022, 3, FALSE)</f>
        <v>TERMICA</v>
      </c>
      <c r="B83" s="1189"/>
      <c r="C83" s="981" t="str">
        <f>VLOOKUP(M83,ASIGNATURAS!$F$1:$L$1022, 4, FALSE)</f>
        <v>Ingeniería Térmica</v>
      </c>
      <c r="D83" s="982"/>
      <c r="E83" s="982"/>
      <c r="F83" s="982"/>
      <c r="G83" s="982"/>
      <c r="H83" s="982"/>
      <c r="I83" s="982"/>
      <c r="J83" s="982"/>
      <c r="K83" s="982"/>
      <c r="L83" s="983"/>
      <c r="M83" s="936">
        <v>6402</v>
      </c>
      <c r="N83" s="937"/>
      <c r="O83" s="936">
        <f>VLOOKUP(M83,ASIGNATURAS!$F$1:$L$1022, 5, FALSE)</f>
        <v>6</v>
      </c>
      <c r="P83" s="937"/>
      <c r="Q83" s="981" t="str">
        <f>VLOOKUP(M83,ASIGNATURAS!$F$1:$L$1022, 6, FALSE)</f>
        <v>Natalia Muñoz Rujas</v>
      </c>
      <c r="R83" s="982"/>
      <c r="S83" s="982"/>
      <c r="T83" s="982"/>
      <c r="U83" s="982"/>
      <c r="V83" s="982"/>
      <c r="W83" s="982"/>
      <c r="X83" s="982"/>
      <c r="Y83" s="982"/>
      <c r="Z83" s="982"/>
      <c r="AA83" s="982"/>
      <c r="AB83" s="982"/>
      <c r="AC83" s="982"/>
      <c r="AD83" s="982"/>
      <c r="AE83" s="983"/>
    </row>
    <row r="84" spans="1:31" ht="13.8" x14ac:dyDescent="0.25">
      <c r="A84" s="1391" t="str">
        <f>VLOOKUP(M84,ASIGNATURAS!$F$1:$L$1022, 3, FALSE)</f>
        <v>E.C.N.</v>
      </c>
      <c r="B84" s="1392"/>
      <c r="C84" s="1176" t="str">
        <f>VLOOKUP(M84,ASIGNATURAS!$F$1:$L$1022, 4, FALSE)</f>
        <v>Estadística y Cálculo Numérico</v>
      </c>
      <c r="D84" s="1177"/>
      <c r="E84" s="1177"/>
      <c r="F84" s="1177"/>
      <c r="G84" s="1177"/>
      <c r="H84" s="1177"/>
      <c r="I84" s="1177"/>
      <c r="J84" s="1177"/>
      <c r="K84" s="1177"/>
      <c r="L84" s="1178"/>
      <c r="M84" s="1156">
        <v>6403</v>
      </c>
      <c r="N84" s="1157"/>
      <c r="O84" s="1156">
        <f>VLOOKUP(M84,ASIGNATURAS!$F$1:$L$1022, 5, FALSE)</f>
        <v>6</v>
      </c>
      <c r="P84" s="1157"/>
      <c r="Q84" s="1176" t="str">
        <f>VLOOKUP(M84,ASIGNATURAS!$F$1:$L$1022, 6, FALSE)</f>
        <v/>
      </c>
      <c r="R84" s="1177"/>
      <c r="S84" s="1177"/>
      <c r="T84" s="1177"/>
      <c r="U84" s="1177"/>
      <c r="V84" s="1177"/>
      <c r="W84" s="1177"/>
      <c r="X84" s="1177"/>
      <c r="Y84" s="1177"/>
      <c r="Z84" s="1177"/>
      <c r="AA84" s="1177"/>
      <c r="AB84" s="1177"/>
      <c r="AC84" s="1177"/>
      <c r="AD84" s="1177"/>
      <c r="AE84" s="1178"/>
    </row>
    <row r="85" spans="1:31" ht="13.8" x14ac:dyDescent="0.25">
      <c r="A85" s="1188" t="str">
        <f>VLOOKUP(M85,ASIGNATURAS!$F$1:$L$1022, 3, FALSE)</f>
        <v>ING. ELECTRICA</v>
      </c>
      <c r="B85" s="1189"/>
      <c r="C85" s="981" t="str">
        <f>VLOOKUP(M85,ASIGNATURAS!$F$1:$L$1022, 4, FALSE)</f>
        <v>Fundamentos de Ingeniería Eléctrica</v>
      </c>
      <c r="D85" s="982"/>
      <c r="E85" s="982"/>
      <c r="F85" s="982"/>
      <c r="G85" s="982"/>
      <c r="H85" s="982"/>
      <c r="I85" s="982"/>
      <c r="J85" s="982"/>
      <c r="K85" s="982"/>
      <c r="L85" s="983"/>
      <c r="M85" s="936">
        <v>6404</v>
      </c>
      <c r="N85" s="937"/>
      <c r="O85" s="936">
        <f>VLOOKUP(M85,ASIGNATURAS!$F$1:$L$1022, 5, FALSE)</f>
        <v>6</v>
      </c>
      <c r="P85" s="937"/>
      <c r="Q85" s="981" t="str">
        <f>VLOOKUP(M85,ASIGNATURAS!$F$1:$L$1022, 6, FALSE)</f>
        <v>Javier González</v>
      </c>
      <c r="R85" s="982"/>
      <c r="S85" s="982"/>
      <c r="T85" s="982"/>
      <c r="U85" s="982"/>
      <c r="V85" s="982"/>
      <c r="W85" s="982"/>
      <c r="X85" s="982"/>
      <c r="Y85" s="982"/>
      <c r="Z85" s="982"/>
      <c r="AA85" s="982"/>
      <c r="AB85" s="982"/>
      <c r="AC85" s="982"/>
      <c r="AD85" s="982"/>
      <c r="AE85" s="983"/>
    </row>
    <row r="86" spans="1:31" ht="13.8" x14ac:dyDescent="0.25">
      <c r="A86" s="1188" t="str">
        <f>VLOOKUP(M86,ASIGNATURAS!$F$1:$L$1022, 3, FALSE)</f>
        <v>ORG. PROD.</v>
      </c>
      <c r="B86" s="1189"/>
      <c r="C86" s="981" t="str">
        <f>VLOOKUP(M86,ASIGNATURAS!$F$1:$L$1022, 4, FALSE)</f>
        <v>Organización de la Producción</v>
      </c>
      <c r="D86" s="982"/>
      <c r="E86" s="982"/>
      <c r="F86" s="982"/>
      <c r="G86" s="982"/>
      <c r="H86" s="982"/>
      <c r="I86" s="982"/>
      <c r="J86" s="982"/>
      <c r="K86" s="982"/>
      <c r="L86" s="983"/>
      <c r="M86" s="936">
        <v>6405</v>
      </c>
      <c r="N86" s="937"/>
      <c r="O86" s="936">
        <f>VLOOKUP(M86,ASIGNATURAS!$F$1:$L$1022, 5, FALSE)</f>
        <v>6</v>
      </c>
      <c r="P86" s="937"/>
      <c r="Q86" s="981" t="str">
        <f>VLOOKUP(M86,ASIGNATURAS!$F$1:$L$1022, 6, FALSE)</f>
        <v>Miguel Angel Manzanedo, Carlos Alonso, Ricardo del Olmo</v>
      </c>
      <c r="R86" s="982"/>
      <c r="S86" s="982"/>
      <c r="T86" s="982"/>
      <c r="U86" s="982"/>
      <c r="V86" s="982"/>
      <c r="W86" s="982"/>
      <c r="X86" s="982"/>
      <c r="Y86" s="982"/>
      <c r="Z86" s="982"/>
      <c r="AA86" s="982"/>
      <c r="AB86" s="982"/>
      <c r="AC86" s="982"/>
      <c r="AD86" s="982"/>
      <c r="AE86" s="983"/>
    </row>
    <row r="87" spans="1:31" ht="14.4" thickBot="1" x14ac:dyDescent="0.3">
      <c r="A87" s="1201" t="str">
        <f>VLOOKUP(M87,ASIGNATURAS!$F$1:$L$1022, 3, FALSE)</f>
        <v>ERMAT</v>
      </c>
      <c r="B87" s="1372"/>
      <c r="C87" s="1022" t="str">
        <f>VLOOKUP(M87,ASIGNATURAS!$F$1:$L$1022, 4, FALSE)</f>
        <v>Elasticidad y Resistencia de Materiales</v>
      </c>
      <c r="D87" s="1023"/>
      <c r="E87" s="1023"/>
      <c r="F87" s="1023"/>
      <c r="G87" s="1023"/>
      <c r="H87" s="1023"/>
      <c r="I87" s="1023"/>
      <c r="J87" s="1023"/>
      <c r="K87" s="1023"/>
      <c r="L87" s="1024"/>
      <c r="M87" s="1295">
        <v>6406</v>
      </c>
      <c r="N87" s="1296"/>
      <c r="O87" s="1295">
        <f>VLOOKUP(M87,ASIGNATURAS!$F$1:$L$1022, 5, FALSE)</f>
        <v>6</v>
      </c>
      <c r="P87" s="1296"/>
      <c r="Q87" s="1022" t="str">
        <f>VLOOKUP(M87,ASIGNATURAS!$F$1:$L$1022, 6, FALSE)</f>
        <v xml:space="preserve">Manuel Solaguren-Beascoa </v>
      </c>
      <c r="R87" s="1023"/>
      <c r="S87" s="1023"/>
      <c r="T87" s="1023"/>
      <c r="U87" s="1023"/>
      <c r="V87" s="1023"/>
      <c r="W87" s="1023"/>
      <c r="X87" s="1023"/>
      <c r="Y87" s="1023"/>
      <c r="Z87" s="1023"/>
      <c r="AA87" s="1023"/>
      <c r="AB87" s="1023"/>
      <c r="AC87" s="1023"/>
      <c r="AD87" s="1023"/>
      <c r="AE87" s="1024"/>
    </row>
    <row r="90" spans="1:31" ht="24" customHeight="1" x14ac:dyDescent="0.25">
      <c r="A90" s="1145" t="s">
        <v>1005</v>
      </c>
      <c r="B90" s="1145"/>
      <c r="C90" s="1145"/>
      <c r="D90" s="1145"/>
      <c r="E90" s="1145"/>
    </row>
    <row r="91" spans="1:31" ht="24" customHeight="1" x14ac:dyDescent="0.25">
      <c r="A91" s="1148" t="s">
        <v>1007</v>
      </c>
      <c r="B91" s="1148"/>
      <c r="C91" s="1148"/>
      <c r="D91" s="1148"/>
      <c r="E91" s="1148"/>
    </row>
    <row r="93" spans="1:31" x14ac:dyDescent="0.25">
      <c r="A93" s="25" t="s">
        <v>213</v>
      </c>
    </row>
    <row r="95" spans="1:31" ht="13.8" thickBot="1" x14ac:dyDescent="0.3"/>
    <row r="96" spans="1:31" s="1" customFormat="1" ht="31.5" customHeight="1" thickBot="1" x14ac:dyDescent="0.45">
      <c r="A96" s="1135" t="str">
        <f>VLOOKUP(A99,ASIGNATURAS!$A$2:$D$151, 3, FALSE)</f>
        <v>2º Grado en Ingeniería Electrónica Industrial y Automática</v>
      </c>
      <c r="B96" s="1136"/>
      <c r="C96" s="1136"/>
      <c r="D96" s="1136"/>
      <c r="E96" s="1136"/>
      <c r="F96" s="1136"/>
      <c r="G96" s="1136"/>
      <c r="H96" s="1136"/>
      <c r="I96" s="1136"/>
      <c r="J96" s="1136"/>
      <c r="K96" s="1136"/>
      <c r="L96" s="1136"/>
      <c r="M96" s="1136"/>
      <c r="N96" s="1136"/>
      <c r="O96" s="1136"/>
      <c r="P96" s="1136"/>
      <c r="Q96" s="1136"/>
      <c r="R96" s="1136"/>
      <c r="S96" s="1136"/>
      <c r="T96" s="1136"/>
      <c r="U96" s="1136"/>
      <c r="V96" s="1136"/>
      <c r="W96" s="1136"/>
      <c r="X96" s="1136"/>
      <c r="Y96" s="1137"/>
      <c r="Z96" s="1064" t="str">
        <f>Z64</f>
        <v>Curso 2024-2025</v>
      </c>
      <c r="AA96" s="1065"/>
      <c r="AB96" s="1065"/>
      <c r="AC96" s="1065"/>
      <c r="AD96" s="1065"/>
      <c r="AE96" s="1066"/>
    </row>
    <row r="97" spans="1:32" s="8" customFormat="1" ht="23.25" customHeight="1" thickBot="1" x14ac:dyDescent="0.45">
      <c r="A97" s="1132" t="str">
        <f>VLOOKUP(A99,ASIGNATURAS!$A$2:$D$151, 2, FALSE)</f>
        <v>Semestre temporal: 2º        (4º Semestre Académico)</v>
      </c>
      <c r="B97" s="1133"/>
      <c r="C97" s="1133"/>
      <c r="D97" s="1133"/>
      <c r="E97" s="1133"/>
      <c r="F97" s="1133"/>
      <c r="G97" s="1133"/>
      <c r="H97" s="1133"/>
      <c r="I97" s="1133"/>
      <c r="J97" s="1133"/>
      <c r="K97" s="1133"/>
      <c r="L97" s="1133"/>
      <c r="M97" s="1133"/>
      <c r="N97" s="1133"/>
      <c r="O97" s="1133"/>
      <c r="P97" s="1133"/>
      <c r="Q97" s="1133"/>
      <c r="R97" s="1133"/>
      <c r="S97" s="1133"/>
      <c r="T97" s="1133"/>
      <c r="U97" s="1133"/>
      <c r="V97" s="1133"/>
      <c r="W97" s="1133"/>
      <c r="X97" s="1133"/>
      <c r="Y97" s="1134"/>
      <c r="Z97" s="1013" t="s">
        <v>152</v>
      </c>
      <c r="AA97" s="1013"/>
      <c r="AB97" s="1013"/>
      <c r="AC97" s="1013"/>
      <c r="AD97" s="1013"/>
      <c r="AE97" s="1014"/>
    </row>
    <row r="98" spans="1:32" s="8" customFormat="1" ht="23.25" customHeight="1" thickBot="1" x14ac:dyDescent="0.45">
      <c r="A98" s="1132" t="s">
        <v>177</v>
      </c>
      <c r="B98" s="1133"/>
      <c r="C98" s="1133"/>
      <c r="D98" s="1133"/>
      <c r="E98" s="1133"/>
      <c r="F98" s="1133"/>
      <c r="G98" s="1133"/>
      <c r="H98" s="1133"/>
      <c r="I98" s="1133"/>
      <c r="J98" s="1133"/>
      <c r="K98" s="1133"/>
      <c r="L98" s="1133"/>
      <c r="M98" s="1133"/>
      <c r="N98" s="1133"/>
      <c r="O98" s="1133"/>
      <c r="P98" s="1133"/>
      <c r="Q98" s="1133"/>
      <c r="R98" s="1133"/>
      <c r="S98" s="1133"/>
      <c r="T98" s="1133"/>
      <c r="U98" s="1133"/>
      <c r="V98" s="1133"/>
      <c r="W98" s="1133"/>
      <c r="X98" s="1133"/>
      <c r="Y98" s="1134"/>
      <c r="Z98" s="1015"/>
      <c r="AA98" s="1015"/>
      <c r="AB98" s="1015"/>
      <c r="AC98" s="1015"/>
      <c r="AD98" s="1015"/>
      <c r="AE98" s="1016"/>
    </row>
    <row r="99" spans="1:32" ht="39.75" customHeight="1" thickBot="1" x14ac:dyDescent="0.3">
      <c r="A99" s="9" t="s">
        <v>53</v>
      </c>
      <c r="Z99" s="226"/>
      <c r="AA99" s="226"/>
      <c r="AB99" s="226"/>
      <c r="AD99" s="226"/>
    </row>
    <row r="100" spans="1:32" s="2" customFormat="1" ht="24" customHeight="1" thickBot="1" x14ac:dyDescent="0.3">
      <c r="A100" s="19" t="s">
        <v>1</v>
      </c>
      <c r="B100" s="1064" t="s">
        <v>2</v>
      </c>
      <c r="C100" s="1065"/>
      <c r="D100" s="1065"/>
      <c r="E100" s="1065"/>
      <c r="F100" s="1065"/>
      <c r="G100" s="1066"/>
      <c r="H100" s="1064" t="s">
        <v>3</v>
      </c>
      <c r="I100" s="1065"/>
      <c r="J100" s="1065"/>
      <c r="K100" s="1065"/>
      <c r="L100" s="1065"/>
      <c r="M100" s="1066"/>
      <c r="N100" s="1064" t="s">
        <v>135</v>
      </c>
      <c r="O100" s="1065"/>
      <c r="P100" s="1065"/>
      <c r="Q100" s="1065"/>
      <c r="R100" s="1065"/>
      <c r="S100" s="1066"/>
      <c r="T100" s="1064" t="s">
        <v>4</v>
      </c>
      <c r="U100" s="1065"/>
      <c r="V100" s="1065"/>
      <c r="W100" s="1065"/>
      <c r="X100" s="1065"/>
      <c r="Y100" s="1066"/>
      <c r="Z100" s="975" t="s">
        <v>5</v>
      </c>
      <c r="AA100" s="976"/>
      <c r="AB100" s="976"/>
      <c r="AC100" s="976"/>
      <c r="AD100" s="976"/>
      <c r="AE100" s="977"/>
    </row>
    <row r="101" spans="1:32" ht="30" customHeight="1" x14ac:dyDescent="0.3">
      <c r="A101" s="1375" t="s">
        <v>1091</v>
      </c>
      <c r="B101" s="1490" t="s">
        <v>79</v>
      </c>
      <c r="C101" s="1089" t="s">
        <v>569</v>
      </c>
      <c r="D101" s="1424" t="s">
        <v>1062</v>
      </c>
      <c r="E101" s="1659" t="s">
        <v>29</v>
      </c>
      <c r="F101" s="1089" t="s">
        <v>570</v>
      </c>
      <c r="G101" s="1652" t="s">
        <v>1237</v>
      </c>
      <c r="H101" s="1490" t="s">
        <v>31</v>
      </c>
      <c r="I101" s="1089" t="s">
        <v>569</v>
      </c>
      <c r="J101" s="1424" t="s">
        <v>152</v>
      </c>
      <c r="K101" s="1659" t="s">
        <v>79</v>
      </c>
      <c r="L101" s="1089" t="s">
        <v>570</v>
      </c>
      <c r="M101" s="1424" t="s">
        <v>1062</v>
      </c>
      <c r="N101" s="1675"/>
      <c r="O101" s="1654"/>
      <c r="P101" s="1662"/>
      <c r="Q101" s="1659" t="s">
        <v>31</v>
      </c>
      <c r="R101" s="1089" t="s">
        <v>570</v>
      </c>
      <c r="S101" s="1424" t="s">
        <v>152</v>
      </c>
      <c r="T101" s="1490" t="s">
        <v>29</v>
      </c>
      <c r="U101" s="1089" t="s">
        <v>569</v>
      </c>
      <c r="V101" s="1424" t="s">
        <v>1237</v>
      </c>
      <c r="W101" s="829"/>
      <c r="X101" s="829"/>
      <c r="Y101" s="830"/>
      <c r="Z101" s="1664" t="s">
        <v>629</v>
      </c>
      <c r="AA101" s="1660" t="s">
        <v>569</v>
      </c>
      <c r="AB101" s="1655" t="s">
        <v>1255</v>
      </c>
      <c r="AC101" s="1089" t="s">
        <v>30</v>
      </c>
      <c r="AD101" s="1089" t="s">
        <v>570</v>
      </c>
      <c r="AE101" s="1652" t="s">
        <v>667</v>
      </c>
    </row>
    <row r="102" spans="1:32" ht="30" customHeight="1" x14ac:dyDescent="0.25">
      <c r="A102" s="1105"/>
      <c r="B102" s="1075"/>
      <c r="C102" s="938"/>
      <c r="D102" s="1182"/>
      <c r="E102" s="1289"/>
      <c r="F102" s="938"/>
      <c r="G102" s="989"/>
      <c r="H102" s="1075"/>
      <c r="I102" s="938"/>
      <c r="J102" s="1182"/>
      <c r="K102" s="1289"/>
      <c r="L102" s="938"/>
      <c r="M102" s="1182"/>
      <c r="N102" s="1676"/>
      <c r="O102" s="1410"/>
      <c r="P102" s="1180"/>
      <c r="Q102" s="1289"/>
      <c r="R102" s="938"/>
      <c r="S102" s="1182"/>
      <c r="T102" s="1075"/>
      <c r="U102" s="938"/>
      <c r="V102" s="1182"/>
      <c r="W102" s="74"/>
      <c r="X102" s="74"/>
      <c r="Y102" s="75"/>
      <c r="Z102" s="1665"/>
      <c r="AA102" s="1011"/>
      <c r="AB102" s="1656"/>
      <c r="AC102" s="938"/>
      <c r="AD102" s="938"/>
      <c r="AE102" s="989"/>
    </row>
    <row r="103" spans="1:32" ht="30" customHeight="1" x14ac:dyDescent="0.3">
      <c r="A103" s="1100" t="s">
        <v>183</v>
      </c>
      <c r="B103" s="1075"/>
      <c r="C103" s="938"/>
      <c r="D103" s="1182"/>
      <c r="E103" s="1289"/>
      <c r="F103" s="938"/>
      <c r="G103" s="989"/>
      <c r="H103" s="1075"/>
      <c r="I103" s="938"/>
      <c r="J103" s="1182"/>
      <c r="K103" s="1289"/>
      <c r="L103" s="938"/>
      <c r="M103" s="1182"/>
      <c r="N103" s="1676"/>
      <c r="O103" s="1410"/>
      <c r="P103" s="1180"/>
      <c r="Q103" s="1289"/>
      <c r="R103" s="938"/>
      <c r="S103" s="1182"/>
      <c r="T103" s="1075"/>
      <c r="U103" s="938"/>
      <c r="V103" s="1182"/>
      <c r="W103" s="393"/>
      <c r="X103" s="84"/>
      <c r="Y103" s="85"/>
      <c r="Z103" s="1665"/>
      <c r="AA103" s="1011"/>
      <c r="AB103" s="1656"/>
      <c r="AC103" s="938"/>
      <c r="AD103" s="938"/>
      <c r="AE103" s="989"/>
    </row>
    <row r="104" spans="1:32" ht="30" customHeight="1" x14ac:dyDescent="0.25">
      <c r="A104" s="1105"/>
      <c r="B104" s="1265"/>
      <c r="C104" s="1053"/>
      <c r="D104" s="1425"/>
      <c r="E104" s="1290"/>
      <c r="F104" s="1053"/>
      <c r="G104" s="1653"/>
      <c r="H104" s="1265"/>
      <c r="I104" s="1053"/>
      <c r="J104" s="1425"/>
      <c r="K104" s="1290"/>
      <c r="L104" s="1053"/>
      <c r="M104" s="1425"/>
      <c r="N104" s="1676"/>
      <c r="O104" s="1410"/>
      <c r="P104" s="1180"/>
      <c r="Q104" s="1289"/>
      <c r="R104" s="938"/>
      <c r="S104" s="1182"/>
      <c r="T104" s="1265"/>
      <c r="U104" s="1053"/>
      <c r="V104" s="1425"/>
      <c r="W104" s="797"/>
      <c r="X104" s="797"/>
      <c r="Y104" s="798"/>
      <c r="Z104" s="1665"/>
      <c r="AA104" s="1661"/>
      <c r="AB104" s="1656"/>
      <c r="AC104" s="1053"/>
      <c r="AD104" s="1053"/>
      <c r="AE104" s="989"/>
    </row>
    <row r="105" spans="1:32" ht="30" customHeight="1" x14ac:dyDescent="0.3">
      <c r="A105" s="1321" t="s">
        <v>182</v>
      </c>
      <c r="B105" s="994" t="s">
        <v>29</v>
      </c>
      <c r="C105" s="995"/>
      <c r="D105" s="995"/>
      <c r="E105" s="995"/>
      <c r="F105" s="995"/>
      <c r="G105" s="996"/>
      <c r="H105" s="994" t="s">
        <v>79</v>
      </c>
      <c r="I105" s="995"/>
      <c r="J105" s="995"/>
      <c r="K105" s="995"/>
      <c r="L105" s="995"/>
      <c r="M105" s="996"/>
      <c r="N105" s="963" t="s">
        <v>31</v>
      </c>
      <c r="O105" s="957"/>
      <c r="P105" s="957"/>
      <c r="Q105" s="957"/>
      <c r="R105" s="957"/>
      <c r="S105" s="958"/>
      <c r="T105" s="994" t="s">
        <v>30</v>
      </c>
      <c r="U105" s="995"/>
      <c r="V105" s="995"/>
      <c r="W105" s="995"/>
      <c r="X105" s="995"/>
      <c r="Y105" s="996"/>
      <c r="Z105" s="1467" t="s">
        <v>30</v>
      </c>
      <c r="AA105" s="1223" t="s">
        <v>569</v>
      </c>
      <c r="AB105" s="1657" t="s">
        <v>667</v>
      </c>
      <c r="AC105" s="1710" t="s">
        <v>629</v>
      </c>
      <c r="AD105" s="1011" t="s">
        <v>570</v>
      </c>
      <c r="AE105" s="1668" t="s">
        <v>1255</v>
      </c>
    </row>
    <row r="106" spans="1:32" ht="30" customHeight="1" x14ac:dyDescent="0.25">
      <c r="A106" s="1321"/>
      <c r="B106" s="951" t="s">
        <v>152</v>
      </c>
      <c r="C106" s="952"/>
      <c r="D106" s="952"/>
      <c r="E106" s="952"/>
      <c r="F106" s="952"/>
      <c r="G106" s="953"/>
      <c r="H106" s="951" t="s">
        <v>152</v>
      </c>
      <c r="I106" s="952"/>
      <c r="J106" s="952"/>
      <c r="K106" s="952"/>
      <c r="L106" s="952"/>
      <c r="M106" s="953"/>
      <c r="N106" s="951" t="s">
        <v>152</v>
      </c>
      <c r="O106" s="952"/>
      <c r="P106" s="952"/>
      <c r="Q106" s="952"/>
      <c r="R106" s="952"/>
      <c r="S106" s="953"/>
      <c r="T106" s="951" t="s">
        <v>152</v>
      </c>
      <c r="U106" s="952"/>
      <c r="V106" s="952"/>
      <c r="W106" s="952"/>
      <c r="X106" s="952"/>
      <c r="Y106" s="953"/>
      <c r="Z106" s="1075"/>
      <c r="AA106" s="938"/>
      <c r="AB106" s="1182"/>
      <c r="AC106" s="1710"/>
      <c r="AD106" s="1011"/>
      <c r="AE106" s="1669"/>
    </row>
    <row r="107" spans="1:32" ht="30" customHeight="1" x14ac:dyDescent="0.3">
      <c r="A107" s="1105" t="s">
        <v>184</v>
      </c>
      <c r="B107" s="994" t="s">
        <v>79</v>
      </c>
      <c r="C107" s="995"/>
      <c r="D107" s="995"/>
      <c r="E107" s="995"/>
      <c r="F107" s="995"/>
      <c r="G107" s="996"/>
      <c r="H107" s="994" t="s">
        <v>31</v>
      </c>
      <c r="I107" s="995"/>
      <c r="J107" s="995"/>
      <c r="K107" s="995"/>
      <c r="L107" s="995"/>
      <c r="M107" s="996"/>
      <c r="N107" s="994" t="s">
        <v>29</v>
      </c>
      <c r="O107" s="995"/>
      <c r="P107" s="995"/>
      <c r="Q107" s="995"/>
      <c r="R107" s="995"/>
      <c r="S107" s="996"/>
      <c r="T107" s="994" t="s">
        <v>30</v>
      </c>
      <c r="U107" s="995"/>
      <c r="V107" s="995"/>
      <c r="W107" s="995"/>
      <c r="X107" s="995"/>
      <c r="Y107" s="996"/>
      <c r="Z107" s="1075"/>
      <c r="AA107" s="938"/>
      <c r="AB107" s="1182"/>
      <c r="AC107" s="1710"/>
      <c r="AD107" s="1011"/>
      <c r="AE107" s="1669"/>
      <c r="AF107" s="33"/>
    </row>
    <row r="108" spans="1:32" ht="30" customHeight="1" x14ac:dyDescent="0.25">
      <c r="A108" s="1321"/>
      <c r="B108" s="1012" t="s">
        <v>152</v>
      </c>
      <c r="C108" s="997"/>
      <c r="D108" s="997"/>
      <c r="E108" s="997"/>
      <c r="F108" s="997"/>
      <c r="G108" s="1663"/>
      <c r="H108" s="951" t="s">
        <v>152</v>
      </c>
      <c r="I108" s="952"/>
      <c r="J108" s="952"/>
      <c r="K108" s="952"/>
      <c r="L108" s="952"/>
      <c r="M108" s="953"/>
      <c r="N108" s="951" t="s">
        <v>152</v>
      </c>
      <c r="O108" s="952"/>
      <c r="P108" s="952"/>
      <c r="Q108" s="952"/>
      <c r="R108" s="952"/>
      <c r="S108" s="953"/>
      <c r="T108" s="951" t="s">
        <v>152</v>
      </c>
      <c r="U108" s="952"/>
      <c r="V108" s="952"/>
      <c r="W108" s="952"/>
      <c r="X108" s="952"/>
      <c r="Y108" s="953"/>
      <c r="Z108" s="1075"/>
      <c r="AA108" s="938"/>
      <c r="AB108" s="1182"/>
      <c r="AC108" s="1710"/>
      <c r="AD108" s="1011"/>
      <c r="AE108" s="1670"/>
    </row>
    <row r="109" spans="1:32" ht="30" customHeight="1" thickBot="1" x14ac:dyDescent="0.35">
      <c r="A109" s="1105" t="s">
        <v>185</v>
      </c>
      <c r="B109" s="963" t="s">
        <v>629</v>
      </c>
      <c r="C109" s="957"/>
      <c r="D109" s="957"/>
      <c r="E109" s="957"/>
      <c r="F109" s="957"/>
      <c r="G109" s="958"/>
      <c r="H109" s="1651" t="s">
        <v>629</v>
      </c>
      <c r="I109" s="1647" t="s">
        <v>569</v>
      </c>
      <c r="J109" s="1673" t="s">
        <v>1257</v>
      </c>
      <c r="K109" s="84"/>
      <c r="L109" s="84"/>
      <c r="M109" s="85"/>
      <c r="N109" s="96"/>
      <c r="O109" s="84"/>
      <c r="P109" s="84"/>
      <c r="Q109" s="1007" t="s">
        <v>629</v>
      </c>
      <c r="R109" s="1647" t="s">
        <v>570</v>
      </c>
      <c r="S109" s="1671" t="s">
        <v>1255</v>
      </c>
      <c r="T109" s="998"/>
      <c r="U109" s="999"/>
      <c r="V109" s="999"/>
      <c r="W109" s="999"/>
      <c r="X109" s="999"/>
      <c r="Y109" s="1000"/>
      <c r="Z109" s="1062"/>
      <c r="AA109" s="1020"/>
      <c r="AB109" s="1020"/>
      <c r="AC109" s="1020"/>
      <c r="AD109" s="1020"/>
      <c r="AE109" s="1063"/>
      <c r="AF109" s="34"/>
    </row>
    <row r="110" spans="1:32" ht="30" customHeight="1" x14ac:dyDescent="0.25">
      <c r="A110" s="1321"/>
      <c r="B110" s="951" t="s">
        <v>152</v>
      </c>
      <c r="C110" s="952"/>
      <c r="D110" s="952"/>
      <c r="E110" s="952"/>
      <c r="F110" s="952"/>
      <c r="G110" s="953"/>
      <c r="H110" s="1651"/>
      <c r="I110" s="1394"/>
      <c r="J110" s="1055"/>
      <c r="K110" s="797"/>
      <c r="L110" s="797"/>
      <c r="M110" s="798"/>
      <c r="N110" s="850"/>
      <c r="O110" s="797"/>
      <c r="P110" s="797"/>
      <c r="Q110" s="1007"/>
      <c r="R110" s="1394"/>
      <c r="S110" s="1672"/>
      <c r="T110" s="1069"/>
      <c r="U110" s="1070"/>
      <c r="V110" s="1070"/>
      <c r="W110" s="1070"/>
      <c r="X110" s="1070"/>
      <c r="Y110" s="1071"/>
      <c r="Z110" s="1069"/>
      <c r="AA110" s="1070"/>
      <c r="AB110" s="1070"/>
      <c r="AC110" s="1070"/>
      <c r="AD110" s="1070"/>
      <c r="AE110" s="1071"/>
    </row>
    <row r="111" spans="1:32" ht="30" customHeight="1" x14ac:dyDescent="0.3">
      <c r="A111" s="1486" t="s">
        <v>186</v>
      </c>
      <c r="B111" s="994" t="s">
        <v>629</v>
      </c>
      <c r="C111" s="995"/>
      <c r="D111" s="995"/>
      <c r="E111" s="995"/>
      <c r="F111" s="995"/>
      <c r="G111" s="996"/>
      <c r="H111" s="1651"/>
      <c r="I111" s="1394"/>
      <c r="J111" s="1055"/>
      <c r="K111" s="84"/>
      <c r="L111" s="84"/>
      <c r="M111" s="85"/>
      <c r="N111" s="96"/>
      <c r="O111" s="84"/>
      <c r="P111" s="84"/>
      <c r="Q111" s="1007"/>
      <c r="R111" s="1394"/>
      <c r="S111" s="1672"/>
      <c r="T111" s="998"/>
      <c r="U111" s="999"/>
      <c r="V111" s="999"/>
      <c r="W111" s="999"/>
      <c r="X111" s="999"/>
      <c r="Y111" s="1000"/>
      <c r="Z111" s="998"/>
      <c r="AA111" s="999"/>
      <c r="AB111" s="999"/>
      <c r="AC111" s="999"/>
      <c r="AD111" s="999"/>
      <c r="AE111" s="1000"/>
    </row>
    <row r="112" spans="1:32" ht="30" customHeight="1" thickBot="1" x14ac:dyDescent="0.3">
      <c r="A112" s="1483"/>
      <c r="B112" s="1115" t="s">
        <v>152</v>
      </c>
      <c r="C112" s="1116"/>
      <c r="D112" s="1116"/>
      <c r="E112" s="1116"/>
      <c r="F112" s="1116"/>
      <c r="G112" s="1117"/>
      <c r="H112" s="1651"/>
      <c r="I112" s="1648"/>
      <c r="J112" s="1674"/>
      <c r="K112" s="38"/>
      <c r="L112" s="38"/>
      <c r="M112" s="39"/>
      <c r="N112" s="851"/>
      <c r="O112" s="38"/>
      <c r="P112" s="38"/>
      <c r="Q112" s="1007"/>
      <c r="R112" s="1648"/>
      <c r="S112" s="1672"/>
      <c r="T112" s="1142"/>
      <c r="U112" s="1143"/>
      <c r="V112" s="1143"/>
      <c r="W112" s="1143"/>
      <c r="X112" s="1143"/>
      <c r="Y112" s="1144"/>
      <c r="Z112" s="1142"/>
      <c r="AA112" s="1143"/>
      <c r="AB112" s="1143"/>
      <c r="AC112" s="1143"/>
      <c r="AD112" s="1143"/>
      <c r="AE112" s="1144"/>
    </row>
    <row r="113" spans="1:31" ht="41.25" customHeight="1" thickBot="1" x14ac:dyDescent="0.3">
      <c r="A113" s="226"/>
      <c r="D113" s="35"/>
      <c r="F113" s="35"/>
      <c r="H113" s="226"/>
      <c r="Q113" s="226"/>
      <c r="S113" s="226"/>
    </row>
    <row r="114" spans="1:31" ht="18.75" customHeight="1" x14ac:dyDescent="0.25">
      <c r="A114" s="1033" t="s">
        <v>214</v>
      </c>
      <c r="B114" s="935"/>
      <c r="C114" s="934" t="s">
        <v>215</v>
      </c>
      <c r="D114" s="934"/>
      <c r="E114" s="934"/>
      <c r="F114" s="934"/>
      <c r="G114" s="934"/>
      <c r="H114" s="934"/>
      <c r="I114" s="934"/>
      <c r="J114" s="934"/>
      <c r="K114" s="934"/>
      <c r="L114" s="58"/>
      <c r="M114" s="1034" t="s">
        <v>303</v>
      </c>
      <c r="N114" s="1035"/>
      <c r="O114" s="934" t="s">
        <v>139</v>
      </c>
      <c r="P114" s="935"/>
      <c r="Q114" s="934" t="s">
        <v>163</v>
      </c>
      <c r="R114" s="934"/>
      <c r="S114" s="934"/>
      <c r="T114" s="934"/>
      <c r="U114" s="934"/>
      <c r="V114" s="934"/>
      <c r="W114" s="934"/>
      <c r="X114" s="934"/>
      <c r="Y114" s="934"/>
      <c r="Z114" s="934"/>
      <c r="AA114" s="934"/>
      <c r="AB114" s="934"/>
      <c r="AC114" s="934"/>
      <c r="AD114" s="934"/>
      <c r="AE114" s="935"/>
    </row>
    <row r="115" spans="1:31" ht="13.8" x14ac:dyDescent="0.25">
      <c r="A115" s="1188" t="str">
        <f>VLOOKUP(M115,ASIGNATURAS!$F$1:$L$1022, 3, FALSE)</f>
        <v>FLUIDOMECANICA</v>
      </c>
      <c r="B115" s="1189"/>
      <c r="C115" s="981" t="str">
        <f>VLOOKUP(M115,ASIGNATURAS!$F$1:$L$1022, 4, FALSE)</f>
        <v>Ingeniería Fluidomecánica</v>
      </c>
      <c r="D115" s="982"/>
      <c r="E115" s="982"/>
      <c r="F115" s="982"/>
      <c r="G115" s="982"/>
      <c r="H115" s="982"/>
      <c r="I115" s="982"/>
      <c r="J115" s="982"/>
      <c r="K115" s="982"/>
      <c r="L115" s="983"/>
      <c r="M115" s="936">
        <v>6407</v>
      </c>
      <c r="N115" s="937"/>
      <c r="O115" s="936">
        <f>VLOOKUP(M115,ASIGNATURAS!$F$1:$L$1022, 5, FALSE)</f>
        <v>6</v>
      </c>
      <c r="P115" s="937"/>
      <c r="Q115" s="981" t="str">
        <f>VLOOKUP(M115,ASIGNATURAS!$F$1:$L$1022, 6, FALSE)</f>
        <v>Jesús Marcos García</v>
      </c>
      <c r="R115" s="982"/>
      <c r="S115" s="982"/>
      <c r="T115" s="982"/>
      <c r="U115" s="982"/>
      <c r="V115" s="982"/>
      <c r="W115" s="982"/>
      <c r="X115" s="982"/>
      <c r="Y115" s="982"/>
      <c r="Z115" s="982"/>
      <c r="AA115" s="982"/>
      <c r="AB115" s="982"/>
      <c r="AC115" s="982"/>
      <c r="AD115" s="982"/>
      <c r="AE115" s="983"/>
    </row>
    <row r="116" spans="1:31" ht="13.8" x14ac:dyDescent="0.25">
      <c r="A116" s="1188" t="str">
        <f>VLOOKUP(M116,ASIGNATURAS!$F$1:$L$1022, 3, FALSE)</f>
        <v>ELECTRONICA</v>
      </c>
      <c r="B116" s="1189"/>
      <c r="C116" s="981" t="str">
        <f>VLOOKUP(M116,ASIGNATURAS!$F$1:$L$1022, 4, FALSE)</f>
        <v>Fundamentos de Electrónica</v>
      </c>
      <c r="D116" s="982"/>
      <c r="E116" s="982"/>
      <c r="F116" s="982"/>
      <c r="G116" s="982"/>
      <c r="H116" s="982"/>
      <c r="I116" s="982"/>
      <c r="J116" s="982"/>
      <c r="K116" s="982"/>
      <c r="L116" s="983"/>
      <c r="M116" s="936">
        <v>6408</v>
      </c>
      <c r="N116" s="937"/>
      <c r="O116" s="936">
        <f>VLOOKUP(M116,ASIGNATURAS!$F$1:$L$1022, 5, FALSE)</f>
        <v>6</v>
      </c>
      <c r="P116" s="937"/>
      <c r="Q116" s="981" t="str">
        <f>VLOOKUP(M116,ASIGNATURAS!$F$1:$L$1022, 6, FALSE)</f>
        <v>Jesús H. Lucio, Guzmán Moreno</v>
      </c>
      <c r="R116" s="982"/>
      <c r="S116" s="982"/>
      <c r="T116" s="982"/>
      <c r="U116" s="982"/>
      <c r="V116" s="982"/>
      <c r="W116" s="982"/>
      <c r="X116" s="982"/>
      <c r="Y116" s="982"/>
      <c r="Z116" s="982"/>
      <c r="AA116" s="982"/>
      <c r="AB116" s="982"/>
      <c r="AC116" s="982"/>
      <c r="AD116" s="982"/>
      <c r="AE116" s="983"/>
    </row>
    <row r="117" spans="1:31" ht="13.8" x14ac:dyDescent="0.25">
      <c r="A117" s="1188" t="str">
        <f>VLOOKUP(M117,ASIGNATURAS!$F$1:$L$1022, 3, FALSE)</f>
        <v>MECANISMOS</v>
      </c>
      <c r="B117" s="1189"/>
      <c r="C117" s="981" t="str">
        <f>VLOOKUP(M117,ASIGNATURAS!$F$1:$L$1022, 4, FALSE)</f>
        <v>Mecanismos</v>
      </c>
      <c r="D117" s="982"/>
      <c r="E117" s="982"/>
      <c r="F117" s="982"/>
      <c r="G117" s="982"/>
      <c r="H117" s="982"/>
      <c r="I117" s="982"/>
      <c r="J117" s="982"/>
      <c r="K117" s="982"/>
      <c r="L117" s="983"/>
      <c r="M117" s="936">
        <v>6409</v>
      </c>
      <c r="N117" s="937"/>
      <c r="O117" s="936">
        <f>VLOOKUP(M117,ASIGNATURAS!$F$1:$L$1022, 5, FALSE)</f>
        <v>6</v>
      </c>
      <c r="P117" s="937"/>
      <c r="Q117" s="981" t="str">
        <f>VLOOKUP(M117,ASIGNATURAS!$F$1:$L$1022, 6, FALSE)</f>
        <v>Francisco Javier Gómez Gil</v>
      </c>
      <c r="R117" s="982"/>
      <c r="S117" s="982"/>
      <c r="T117" s="982"/>
      <c r="U117" s="982"/>
      <c r="V117" s="982"/>
      <c r="W117" s="982"/>
      <c r="X117" s="982"/>
      <c r="Y117" s="982"/>
      <c r="Z117" s="982"/>
      <c r="AA117" s="982"/>
      <c r="AB117" s="982"/>
      <c r="AC117" s="982"/>
      <c r="AD117" s="982"/>
      <c r="AE117" s="983"/>
    </row>
    <row r="118" spans="1:31" ht="13.8" x14ac:dyDescent="0.25">
      <c r="A118" s="1188" t="str">
        <f>VLOOKUP(M118,ASIGNATURAS!$F$1:$L$1022, 3, FALSE)</f>
        <v>AUTOMATISMOS</v>
      </c>
      <c r="B118" s="1189"/>
      <c r="C118" s="981" t="str">
        <f>VLOOKUP(M118,ASIGNATURAS!$F$1:$L$1022, 4, FALSE)</f>
        <v>Automatismos y Control Industrial</v>
      </c>
      <c r="D118" s="982"/>
      <c r="E118" s="982"/>
      <c r="F118" s="982"/>
      <c r="G118" s="982"/>
      <c r="H118" s="982"/>
      <c r="I118" s="982"/>
      <c r="J118" s="982"/>
      <c r="K118" s="982"/>
      <c r="L118" s="983"/>
      <c r="M118" s="936">
        <v>6410</v>
      </c>
      <c r="N118" s="937"/>
      <c r="O118" s="936">
        <f>VLOOKUP(M118,ASIGNATURAS!$F$1:$L$1022, 5, FALSE)</f>
        <v>6</v>
      </c>
      <c r="P118" s="937"/>
      <c r="Q118" s="981" t="str">
        <f>VLOOKUP(M118,ASIGNATURAS!$F$1:$L$1022, 6, FALSE)</f>
        <v>José María Vela Castresana</v>
      </c>
      <c r="R118" s="982"/>
      <c r="S118" s="982"/>
      <c r="T118" s="982"/>
      <c r="U118" s="982"/>
      <c r="V118" s="982"/>
      <c r="W118" s="982"/>
      <c r="X118" s="982"/>
      <c r="Y118" s="982"/>
      <c r="Z118" s="982"/>
      <c r="AA118" s="982"/>
      <c r="AB118" s="982"/>
      <c r="AC118" s="982"/>
      <c r="AD118" s="982"/>
      <c r="AE118" s="983"/>
    </row>
    <row r="119" spans="1:31" ht="14.4" thickBot="1" x14ac:dyDescent="0.3">
      <c r="A119" s="1201" t="str">
        <f>VLOOKUP(M119,ASIGNATURAS!$F$1:$L$1022, 3, FALSE)</f>
        <v>CIRCUITOS</v>
      </c>
      <c r="B119" s="1372"/>
      <c r="C119" s="1022" t="str">
        <f>VLOOKUP(M119,ASIGNATURAS!$F$1:$L$1022, 4, FALSE)</f>
        <v>Teoría de Circuitos</v>
      </c>
      <c r="D119" s="1023"/>
      <c r="E119" s="1023"/>
      <c r="F119" s="1023"/>
      <c r="G119" s="1023"/>
      <c r="H119" s="1023"/>
      <c r="I119" s="1023"/>
      <c r="J119" s="1023"/>
      <c r="K119" s="1023"/>
      <c r="L119" s="1024"/>
      <c r="M119" s="1295">
        <v>6411</v>
      </c>
      <c r="N119" s="1296"/>
      <c r="O119" s="1295">
        <f>VLOOKUP(M119,ASIGNATURAS!$F$1:$L$1022, 5, FALSE)</f>
        <v>6</v>
      </c>
      <c r="P119" s="1296"/>
      <c r="Q119" s="1022" t="str">
        <f>VLOOKUP(M119,ASIGNATURAS!$F$1:$L$1022, 6, FALSE)</f>
        <v>Victoria Abad, Jesús Sagredo</v>
      </c>
      <c r="R119" s="1023"/>
      <c r="S119" s="1023"/>
      <c r="T119" s="1023"/>
      <c r="U119" s="1023"/>
      <c r="V119" s="1023"/>
      <c r="W119" s="1023"/>
      <c r="X119" s="1023"/>
      <c r="Y119" s="1023"/>
      <c r="Z119" s="1023"/>
      <c r="AA119" s="1023"/>
      <c r="AB119" s="1023"/>
      <c r="AC119" s="1023"/>
      <c r="AD119" s="1023"/>
      <c r="AE119" s="1024"/>
    </row>
    <row r="120" spans="1:31" x14ac:dyDescent="0.25">
      <c r="A120" s="10"/>
      <c r="B120" s="10"/>
      <c r="C120" s="10"/>
      <c r="D120" s="10"/>
      <c r="E120" s="10"/>
    </row>
    <row r="121" spans="1:31" x14ac:dyDescent="0.25">
      <c r="A121" s="10"/>
      <c r="B121" s="10"/>
      <c r="C121" s="10"/>
      <c r="D121" s="10"/>
      <c r="E121" s="10"/>
    </row>
    <row r="122" spans="1:31" ht="24" customHeight="1" x14ac:dyDescent="0.25">
      <c r="A122" s="1145" t="s">
        <v>1005</v>
      </c>
      <c r="B122" s="1145"/>
      <c r="C122" s="1145"/>
      <c r="D122" s="1145"/>
      <c r="E122" s="1145"/>
    </row>
    <row r="123" spans="1:31" ht="24" customHeight="1" x14ac:dyDescent="0.25">
      <c r="A123" s="1148" t="s">
        <v>1007</v>
      </c>
      <c r="B123" s="1148"/>
      <c r="C123" s="1148"/>
      <c r="D123" s="1148"/>
      <c r="E123" s="1148"/>
    </row>
    <row r="125" spans="1:31" x14ac:dyDescent="0.25">
      <c r="A125" s="25" t="s">
        <v>213</v>
      </c>
    </row>
    <row r="126" spans="1:31" ht="13.8" thickBot="1" x14ac:dyDescent="0.3"/>
    <row r="127" spans="1:31" s="1" customFormat="1" ht="31.5" customHeight="1" thickBot="1" x14ac:dyDescent="0.45">
      <c r="A127" s="1135" t="str">
        <f>VLOOKUP(A130,ASIGNATURAS!$A$2:$D$151, 3, FALSE)</f>
        <v>3º Grado en Ingeniería Electrónica Industrial y Automática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7"/>
      <c r="Z127" s="1064" t="str">
        <f>Z96</f>
        <v>Curso 2024-2025</v>
      </c>
      <c r="AA127" s="1065"/>
      <c r="AB127" s="1065"/>
      <c r="AC127" s="1065"/>
      <c r="AD127" s="1065"/>
      <c r="AE127" s="1066"/>
    </row>
    <row r="128" spans="1:3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4"/>
      <c r="Z128" s="1013" t="s">
        <v>158</v>
      </c>
      <c r="AA128" s="1013"/>
      <c r="AB128" s="1013"/>
      <c r="AC128" s="1013"/>
      <c r="AD128" s="1013"/>
      <c r="AE128" s="1014"/>
    </row>
    <row r="129" spans="1:32"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4"/>
      <c r="Z129" s="1015"/>
      <c r="AA129" s="1015"/>
      <c r="AB129" s="1015"/>
      <c r="AC129" s="1015"/>
      <c r="AD129" s="1015"/>
      <c r="AE129" s="1016"/>
    </row>
    <row r="130" spans="1:32" ht="38.25" customHeight="1" thickBot="1" x14ac:dyDescent="0.3">
      <c r="A130" s="9" t="s">
        <v>54</v>
      </c>
    </row>
    <row r="131" spans="1:32" s="2" customFormat="1" ht="24" customHeight="1" thickBot="1" x14ac:dyDescent="0.3">
      <c r="A131" s="19" t="s">
        <v>1</v>
      </c>
      <c r="B131" s="1064" t="s">
        <v>2</v>
      </c>
      <c r="C131" s="1065"/>
      <c r="D131" s="1065"/>
      <c r="E131" s="1065"/>
      <c r="F131" s="1065"/>
      <c r="G131" s="1066"/>
      <c r="H131" s="1064" t="s">
        <v>3</v>
      </c>
      <c r="I131" s="1065"/>
      <c r="J131" s="1065"/>
      <c r="K131" s="1065"/>
      <c r="L131" s="1065"/>
      <c r="M131" s="1066"/>
      <c r="N131" s="1064" t="s">
        <v>135</v>
      </c>
      <c r="O131" s="1065"/>
      <c r="P131" s="1065"/>
      <c r="Q131" s="1065"/>
      <c r="R131" s="1065"/>
      <c r="S131" s="1066"/>
      <c r="T131" s="1064" t="s">
        <v>4</v>
      </c>
      <c r="U131" s="1065"/>
      <c r="V131" s="1065"/>
      <c r="W131" s="1065"/>
      <c r="X131" s="1065"/>
      <c r="Y131" s="1066"/>
      <c r="Z131" s="1064" t="s">
        <v>5</v>
      </c>
      <c r="AA131" s="1065"/>
      <c r="AB131" s="1065"/>
      <c r="AC131" s="1065"/>
      <c r="AD131" s="1065"/>
      <c r="AE131" s="1066"/>
    </row>
    <row r="132" spans="1:32" ht="30" customHeight="1" x14ac:dyDescent="0.3">
      <c r="A132" s="1160" t="s">
        <v>10</v>
      </c>
      <c r="B132" s="1002" t="s">
        <v>88</v>
      </c>
      <c r="C132" s="1003"/>
      <c r="D132" s="1003"/>
      <c r="E132" s="1003"/>
      <c r="F132" s="1003"/>
      <c r="G132" s="1004"/>
      <c r="H132" s="1002" t="s">
        <v>89</v>
      </c>
      <c r="I132" s="1003"/>
      <c r="J132" s="1003"/>
      <c r="K132" s="1003"/>
      <c r="L132" s="1003"/>
      <c r="M132" s="1004"/>
      <c r="N132" s="1002" t="s">
        <v>90</v>
      </c>
      <c r="O132" s="1003"/>
      <c r="P132" s="1003"/>
      <c r="Q132" s="1003"/>
      <c r="R132" s="1003"/>
      <c r="S132" s="1004"/>
      <c r="T132" s="1002" t="s">
        <v>249</v>
      </c>
      <c r="U132" s="1003"/>
      <c r="V132" s="1003"/>
      <c r="W132" s="1003"/>
      <c r="X132" s="1003"/>
      <c r="Y132" s="1004"/>
      <c r="Z132" s="1002" t="s">
        <v>80</v>
      </c>
      <c r="AA132" s="1003"/>
      <c r="AB132" s="1003"/>
      <c r="AC132" s="1003"/>
      <c r="AD132" s="1003"/>
      <c r="AE132" s="1004"/>
    </row>
    <row r="133" spans="1:32" ht="30" customHeight="1" x14ac:dyDescent="0.25">
      <c r="A133" s="1161"/>
      <c r="B133" s="951" t="s">
        <v>158</v>
      </c>
      <c r="C133" s="952"/>
      <c r="D133" s="952"/>
      <c r="E133" s="952"/>
      <c r="F133" s="952"/>
      <c r="G133" s="953"/>
      <c r="H133" s="951" t="s">
        <v>158</v>
      </c>
      <c r="I133" s="952"/>
      <c r="J133" s="952"/>
      <c r="K133" s="952"/>
      <c r="L133" s="952"/>
      <c r="M133" s="953"/>
      <c r="N133" s="951" t="s">
        <v>158</v>
      </c>
      <c r="O133" s="952"/>
      <c r="P133" s="952"/>
      <c r="Q133" s="952"/>
      <c r="R133" s="952"/>
      <c r="S133" s="953"/>
      <c r="T133" s="951" t="s">
        <v>158</v>
      </c>
      <c r="U133" s="952"/>
      <c r="V133" s="952"/>
      <c r="W133" s="952"/>
      <c r="X133" s="952"/>
      <c r="Y133" s="953"/>
      <c r="Z133" s="951" t="s">
        <v>158</v>
      </c>
      <c r="AA133" s="952"/>
      <c r="AB133" s="952"/>
      <c r="AC133" s="952"/>
      <c r="AD133" s="952"/>
      <c r="AE133" s="953"/>
    </row>
    <row r="134" spans="1:32" ht="30" customHeight="1" x14ac:dyDescent="0.3">
      <c r="A134" s="1161" t="s">
        <v>11</v>
      </c>
      <c r="B134" s="963" t="s">
        <v>88</v>
      </c>
      <c r="C134" s="957"/>
      <c r="D134" s="957"/>
      <c r="E134" s="957"/>
      <c r="F134" s="957"/>
      <c r="G134" s="958"/>
      <c r="H134" s="963" t="s">
        <v>89</v>
      </c>
      <c r="I134" s="957"/>
      <c r="J134" s="957"/>
      <c r="K134" s="957"/>
      <c r="L134" s="957"/>
      <c r="M134" s="958"/>
      <c r="N134" s="963" t="s">
        <v>90</v>
      </c>
      <c r="O134" s="957"/>
      <c r="P134" s="957"/>
      <c r="Q134" s="957"/>
      <c r="R134" s="957"/>
      <c r="S134" s="958"/>
      <c r="T134" s="963" t="s">
        <v>249</v>
      </c>
      <c r="U134" s="957"/>
      <c r="V134" s="957"/>
      <c r="W134" s="957"/>
      <c r="X134" s="957"/>
      <c r="Y134" s="958"/>
      <c r="Z134" s="963" t="s">
        <v>80</v>
      </c>
      <c r="AA134" s="957"/>
      <c r="AB134" s="957"/>
      <c r="AC134" s="957"/>
      <c r="AD134" s="957"/>
      <c r="AE134" s="958"/>
    </row>
    <row r="135" spans="1:32" ht="30" customHeight="1" x14ac:dyDescent="0.25">
      <c r="A135" s="1161"/>
      <c r="B135" s="951" t="s">
        <v>158</v>
      </c>
      <c r="C135" s="952"/>
      <c r="D135" s="952"/>
      <c r="E135" s="952"/>
      <c r="F135" s="952"/>
      <c r="G135" s="953"/>
      <c r="H135" s="951" t="s">
        <v>158</v>
      </c>
      <c r="I135" s="952"/>
      <c r="J135" s="952"/>
      <c r="K135" s="952"/>
      <c r="L135" s="952"/>
      <c r="M135" s="953"/>
      <c r="N135" s="951" t="s">
        <v>158</v>
      </c>
      <c r="O135" s="952"/>
      <c r="P135" s="952"/>
      <c r="Q135" s="952"/>
      <c r="R135" s="952"/>
      <c r="S135" s="953"/>
      <c r="T135" s="951" t="s">
        <v>158</v>
      </c>
      <c r="U135" s="952"/>
      <c r="V135" s="952"/>
      <c r="W135" s="952"/>
      <c r="X135" s="952"/>
      <c r="Y135" s="953"/>
      <c r="Z135" s="951" t="s">
        <v>158</v>
      </c>
      <c r="AA135" s="952"/>
      <c r="AB135" s="952"/>
      <c r="AC135" s="952"/>
      <c r="AD135" s="952"/>
      <c r="AE135" s="953"/>
      <c r="AF135" s="33"/>
    </row>
    <row r="136" spans="1:32" ht="30" customHeight="1" x14ac:dyDescent="0.25">
      <c r="A136" s="1161" t="s">
        <v>6</v>
      </c>
      <c r="B136" s="1532" t="s">
        <v>80</v>
      </c>
      <c r="C136" s="1223" t="s">
        <v>569</v>
      </c>
      <c r="D136" s="1324" t="s">
        <v>632</v>
      </c>
      <c r="E136" s="1569"/>
      <c r="F136" s="972"/>
      <c r="G136" s="1541"/>
      <c r="H136" s="1398" t="s">
        <v>88</v>
      </c>
      <c r="I136" s="938" t="s">
        <v>569</v>
      </c>
      <c r="J136" s="1334" t="s">
        <v>1305</v>
      </c>
      <c r="K136" s="1569"/>
      <c r="L136" s="972"/>
      <c r="M136" s="1541"/>
      <c r="N136" s="1532" t="s">
        <v>89</v>
      </c>
      <c r="O136" s="1223" t="s">
        <v>569</v>
      </c>
      <c r="P136" s="1324" t="s">
        <v>667</v>
      </c>
      <c r="Q136" s="1559"/>
      <c r="R136" s="1165"/>
      <c r="S136" s="1540"/>
      <c r="T136" s="1543"/>
      <c r="U136" s="1165"/>
      <c r="V136" s="1356"/>
      <c r="W136" s="1569"/>
      <c r="X136" s="972"/>
      <c r="Y136" s="1541"/>
      <c r="Z136" s="1532" t="s">
        <v>90</v>
      </c>
      <c r="AA136" s="1223" t="s">
        <v>569</v>
      </c>
      <c r="AB136" s="1324" t="s">
        <v>667</v>
      </c>
      <c r="AC136" s="967"/>
      <c r="AD136" s="1165"/>
      <c r="AE136" s="1540"/>
    </row>
    <row r="137" spans="1:32" ht="30" customHeight="1" x14ac:dyDescent="0.25">
      <c r="A137" s="1161"/>
      <c r="B137" s="1398"/>
      <c r="C137" s="938"/>
      <c r="D137" s="1051"/>
      <c r="E137" s="1570"/>
      <c r="F137" s="973"/>
      <c r="G137" s="1214"/>
      <c r="H137" s="1398"/>
      <c r="I137" s="938"/>
      <c r="J137" s="1334"/>
      <c r="K137" s="1570"/>
      <c r="L137" s="973"/>
      <c r="M137" s="1214"/>
      <c r="N137" s="1398"/>
      <c r="O137" s="938"/>
      <c r="P137" s="1051"/>
      <c r="Q137" s="1560"/>
      <c r="R137" s="1166"/>
      <c r="S137" s="1168"/>
      <c r="T137" s="1387"/>
      <c r="U137" s="1166"/>
      <c r="V137" s="1357"/>
      <c r="W137" s="1570"/>
      <c r="X137" s="973"/>
      <c r="Y137" s="1214"/>
      <c r="Z137" s="1398"/>
      <c r="AA137" s="938"/>
      <c r="AB137" s="1051"/>
      <c r="AC137" s="968"/>
      <c r="AD137" s="1166"/>
      <c r="AE137" s="1168"/>
    </row>
    <row r="138" spans="1:32" ht="30" customHeight="1" x14ac:dyDescent="0.25">
      <c r="A138" s="1161" t="s">
        <v>7</v>
      </c>
      <c r="B138" s="1398"/>
      <c r="C138" s="938"/>
      <c r="D138" s="1051"/>
      <c r="E138" s="1570"/>
      <c r="F138" s="973"/>
      <c r="G138" s="1214"/>
      <c r="H138" s="1398"/>
      <c r="I138" s="938"/>
      <c r="J138" s="1334"/>
      <c r="K138" s="1570"/>
      <c r="L138" s="973"/>
      <c r="M138" s="1214"/>
      <c r="N138" s="1398"/>
      <c r="O138" s="938"/>
      <c r="P138" s="1051"/>
      <c r="Q138" s="1560"/>
      <c r="R138" s="1166"/>
      <c r="S138" s="1168"/>
      <c r="T138" s="1387"/>
      <c r="U138" s="1166"/>
      <c r="V138" s="1357"/>
      <c r="W138" s="1570"/>
      <c r="X138" s="973"/>
      <c r="Y138" s="1214"/>
      <c r="Z138" s="1398"/>
      <c r="AA138" s="938"/>
      <c r="AB138" s="1051"/>
      <c r="AC138" s="968"/>
      <c r="AD138" s="1166"/>
      <c r="AE138" s="1168"/>
    </row>
    <row r="139" spans="1:32" ht="30" customHeight="1" x14ac:dyDescent="0.25">
      <c r="A139" s="1161"/>
      <c r="B139" s="1399"/>
      <c r="C139" s="1053"/>
      <c r="D139" s="1052"/>
      <c r="E139" s="1638"/>
      <c r="F139" s="1511"/>
      <c r="G139" s="1215"/>
      <c r="H139" s="1398"/>
      <c r="I139" s="938"/>
      <c r="J139" s="1335"/>
      <c r="K139" s="1638"/>
      <c r="L139" s="1511"/>
      <c r="M139" s="1215"/>
      <c r="N139" s="1399"/>
      <c r="O139" s="1053"/>
      <c r="P139" s="1052"/>
      <c r="Q139" s="1709"/>
      <c r="R139" s="1397"/>
      <c r="S139" s="1379"/>
      <c r="T139" s="1388"/>
      <c r="U139" s="1397"/>
      <c r="V139" s="1358"/>
      <c r="W139" s="1638"/>
      <c r="X139" s="1511"/>
      <c r="Y139" s="1215"/>
      <c r="Z139" s="1399"/>
      <c r="AA139" s="1053"/>
      <c r="AB139" s="1052"/>
      <c r="AC139" s="1400"/>
      <c r="AD139" s="1397"/>
      <c r="AE139" s="1379"/>
    </row>
    <row r="140" spans="1:32" ht="30" customHeight="1" x14ac:dyDescent="0.25">
      <c r="A140" s="1161" t="s">
        <v>8</v>
      </c>
      <c r="B140" s="1532" t="s">
        <v>249</v>
      </c>
      <c r="C140" s="1223" t="s">
        <v>569</v>
      </c>
      <c r="D140" s="1333" t="s">
        <v>667</v>
      </c>
      <c r="E140" s="1569"/>
      <c r="F140" s="972"/>
      <c r="G140" s="1541"/>
      <c r="H140" s="1543"/>
      <c r="I140" s="1165"/>
      <c r="J140" s="1149"/>
      <c r="K140" s="967"/>
      <c r="L140" s="1166"/>
      <c r="M140" s="1540"/>
      <c r="N140" s="1387"/>
      <c r="O140" s="1166"/>
      <c r="P140" s="1357"/>
      <c r="Q140" s="968"/>
      <c r="R140" s="1166"/>
      <c r="S140" s="1168"/>
      <c r="T140" s="1387"/>
      <c r="U140" s="1166"/>
      <c r="V140" s="1357"/>
      <c r="W140" s="968"/>
      <c r="X140" s="1166"/>
      <c r="Y140" s="1168"/>
      <c r="Z140" s="1387"/>
      <c r="AA140" s="1166"/>
      <c r="AB140" s="1357"/>
      <c r="AC140" s="968"/>
      <c r="AD140" s="1166"/>
      <c r="AE140" s="1168"/>
    </row>
    <row r="141" spans="1:32" ht="30" customHeight="1" x14ac:dyDescent="0.25">
      <c r="A141" s="1161"/>
      <c r="B141" s="1398"/>
      <c r="C141" s="938"/>
      <c r="D141" s="1334"/>
      <c r="E141" s="1570"/>
      <c r="F141" s="973"/>
      <c r="G141" s="1214"/>
      <c r="H141" s="1387"/>
      <c r="I141" s="1166"/>
      <c r="J141" s="1149"/>
      <c r="K141" s="968"/>
      <c r="L141" s="1166"/>
      <c r="M141" s="1168"/>
      <c r="N141" s="1387"/>
      <c r="O141" s="1166"/>
      <c r="P141" s="1357"/>
      <c r="Q141" s="968"/>
      <c r="R141" s="1166"/>
      <c r="S141" s="1168"/>
      <c r="T141" s="1387"/>
      <c r="U141" s="1166"/>
      <c r="V141" s="1357"/>
      <c r="W141" s="968"/>
      <c r="X141" s="1166"/>
      <c r="Y141" s="1168"/>
      <c r="Z141" s="1387"/>
      <c r="AA141" s="1166"/>
      <c r="AB141" s="1357"/>
      <c r="AC141" s="968"/>
      <c r="AD141" s="1166"/>
      <c r="AE141" s="1168"/>
    </row>
    <row r="142" spans="1:32" ht="30" customHeight="1" x14ac:dyDescent="0.25">
      <c r="A142" s="1161" t="s">
        <v>9</v>
      </c>
      <c r="B142" s="1398"/>
      <c r="C142" s="938"/>
      <c r="D142" s="1334"/>
      <c r="E142" s="1570"/>
      <c r="F142" s="973"/>
      <c r="G142" s="1214"/>
      <c r="H142" s="1387"/>
      <c r="I142" s="1166"/>
      <c r="J142" s="1149"/>
      <c r="K142" s="968"/>
      <c r="L142" s="1166"/>
      <c r="M142" s="1168"/>
      <c r="N142" s="1387"/>
      <c r="O142" s="1166"/>
      <c r="P142" s="1357"/>
      <c r="Q142" s="968"/>
      <c r="R142" s="1166"/>
      <c r="S142" s="1168"/>
      <c r="T142" s="1387"/>
      <c r="U142" s="1166"/>
      <c r="V142" s="1357"/>
      <c r="W142" s="968"/>
      <c r="X142" s="1166"/>
      <c r="Y142" s="1168"/>
      <c r="Z142" s="1387"/>
      <c r="AA142" s="1166"/>
      <c r="AB142" s="1357"/>
      <c r="AC142" s="968"/>
      <c r="AD142" s="1166"/>
      <c r="AE142" s="1168"/>
      <c r="AF142" s="33"/>
    </row>
    <row r="143" spans="1:32" ht="30" customHeight="1" thickBot="1" x14ac:dyDescent="0.3">
      <c r="A143" s="1238"/>
      <c r="B143" s="1578"/>
      <c r="C143" s="1393"/>
      <c r="D143" s="1646"/>
      <c r="E143" s="1571"/>
      <c r="F143" s="974"/>
      <c r="G143" s="1542"/>
      <c r="H143" s="1544"/>
      <c r="I143" s="1167"/>
      <c r="J143" s="1340"/>
      <c r="K143" s="969"/>
      <c r="L143" s="1167"/>
      <c r="M143" s="1169"/>
      <c r="N143" s="1544"/>
      <c r="O143" s="1167"/>
      <c r="P143" s="1519"/>
      <c r="Q143" s="969"/>
      <c r="R143" s="1167"/>
      <c r="S143" s="1169"/>
      <c r="T143" s="1544"/>
      <c r="U143" s="1167"/>
      <c r="V143" s="1519"/>
      <c r="W143" s="969"/>
      <c r="X143" s="1167"/>
      <c r="Y143" s="1169"/>
      <c r="Z143" s="1544"/>
      <c r="AA143" s="1167"/>
      <c r="AB143" s="1519"/>
      <c r="AC143" s="969"/>
      <c r="AD143" s="1167"/>
      <c r="AE143" s="1169"/>
    </row>
    <row r="144" spans="1:32" ht="14.25" customHeight="1" x14ac:dyDescent="0.25">
      <c r="J144" s="31"/>
    </row>
    <row r="145" spans="1:31" ht="12.75" customHeight="1" thickBot="1" x14ac:dyDescent="0.3"/>
    <row r="146" spans="1:31" ht="18.75" customHeight="1" x14ac:dyDescent="0.25">
      <c r="A146" s="1033" t="s">
        <v>214</v>
      </c>
      <c r="B146" s="935"/>
      <c r="C146" s="934" t="s">
        <v>215</v>
      </c>
      <c r="D146" s="934"/>
      <c r="E146" s="934"/>
      <c r="F146" s="934"/>
      <c r="G146" s="934"/>
      <c r="H146" s="934"/>
      <c r="I146" s="934"/>
      <c r="J146" s="934"/>
      <c r="K146" s="934"/>
      <c r="L146" s="58"/>
      <c r="M146" s="1034" t="s">
        <v>304</v>
      </c>
      <c r="N146" s="1035"/>
      <c r="O146" s="934" t="s">
        <v>139</v>
      </c>
      <c r="P146" s="935"/>
      <c r="Q146" s="934" t="s">
        <v>163</v>
      </c>
      <c r="R146" s="934"/>
      <c r="S146" s="934"/>
      <c r="T146" s="934"/>
      <c r="U146" s="934"/>
      <c r="V146" s="934"/>
      <c r="W146" s="934"/>
      <c r="X146" s="934"/>
      <c r="Y146" s="934"/>
      <c r="Z146" s="934"/>
      <c r="AA146" s="934"/>
      <c r="AB146" s="934"/>
      <c r="AC146" s="934"/>
      <c r="AD146" s="934"/>
      <c r="AE146" s="935"/>
    </row>
    <row r="147" spans="1:31" ht="13.8" x14ac:dyDescent="0.25">
      <c r="A147" s="1188" t="str">
        <f>VLOOKUP(M147,ASIGNATURAS!$F$1:$L$1022, 3, FALSE)</f>
        <v>ELECT. ANALOG.</v>
      </c>
      <c r="B147" s="1189"/>
      <c r="C147" s="981" t="str">
        <f>VLOOKUP(M147,ASIGNATURAS!$F$1:$L$1022, 4, FALSE)</f>
        <v>Electrónica Analógica</v>
      </c>
      <c r="D147" s="982"/>
      <c r="E147" s="982"/>
      <c r="F147" s="982"/>
      <c r="G147" s="982"/>
      <c r="H147" s="982"/>
      <c r="I147" s="982"/>
      <c r="J147" s="982"/>
      <c r="K147" s="982"/>
      <c r="L147" s="983"/>
      <c r="M147" s="936">
        <v>6412</v>
      </c>
      <c r="N147" s="937"/>
      <c r="O147" s="936">
        <f>VLOOKUP(M147,ASIGNATURAS!$F$1:$L$1022, 5, FALSE)</f>
        <v>6</v>
      </c>
      <c r="P147" s="937"/>
      <c r="Q147" s="981" t="str">
        <f>VLOOKUP(M147,ASIGNATURAS!$F$1:$L$1022, 6, FALSE)</f>
        <v xml:space="preserve">Jesús H. Lucio, </v>
      </c>
      <c r="R147" s="982"/>
      <c r="S147" s="982"/>
      <c r="T147" s="982"/>
      <c r="U147" s="982"/>
      <c r="V147" s="982"/>
      <c r="W147" s="982"/>
      <c r="X147" s="982"/>
      <c r="Y147" s="982"/>
      <c r="Z147" s="982"/>
      <c r="AA147" s="982"/>
      <c r="AB147" s="982"/>
      <c r="AC147" s="982"/>
      <c r="AD147" s="982"/>
      <c r="AE147" s="983"/>
    </row>
    <row r="148" spans="1:31" ht="13.8" x14ac:dyDescent="0.25">
      <c r="A148" s="1188" t="str">
        <f>VLOOKUP(M148,ASIGNATURAS!$F$1:$L$1022, 3, FALSE)</f>
        <v>ELECT. DIGITAL</v>
      </c>
      <c r="B148" s="1189"/>
      <c r="C148" s="981" t="str">
        <f>VLOOKUP(M148,ASIGNATURAS!$F$1:$L$1022, 4, FALSE)</f>
        <v>Electrónica Digital</v>
      </c>
      <c r="D148" s="982"/>
      <c r="E148" s="982"/>
      <c r="F148" s="982"/>
      <c r="G148" s="982"/>
      <c r="H148" s="982"/>
      <c r="I148" s="982"/>
      <c r="J148" s="982"/>
      <c r="K148" s="982"/>
      <c r="L148" s="983"/>
      <c r="M148" s="936">
        <v>6413</v>
      </c>
      <c r="N148" s="937"/>
      <c r="O148" s="936">
        <f>VLOOKUP(M148,ASIGNATURAS!$F$1:$L$1022, 5, FALSE)</f>
        <v>6</v>
      </c>
      <c r="P148" s="937"/>
      <c r="Q148" s="981" t="str">
        <f>VLOOKUP(M148,ASIGNATURAS!$F$1:$L$1022, 6, FALSE)</f>
        <v>Miguel Angel Lozano Pérez</v>
      </c>
      <c r="R148" s="982"/>
      <c r="S148" s="982"/>
      <c r="T148" s="982"/>
      <c r="U148" s="982"/>
      <c r="V148" s="982"/>
      <c r="W148" s="982"/>
      <c r="X148" s="982"/>
      <c r="Y148" s="982"/>
      <c r="Z148" s="982"/>
      <c r="AA148" s="982"/>
      <c r="AB148" s="982"/>
      <c r="AC148" s="982"/>
      <c r="AD148" s="982"/>
      <c r="AE148" s="983"/>
    </row>
    <row r="149" spans="1:31" ht="13.8" x14ac:dyDescent="0.25">
      <c r="A149" s="1188" t="str">
        <f>VLOOKUP(M149,ASIGNATURAS!$F$1:$L$1022, 3, FALSE)</f>
        <v>REG. AUTOMAT.</v>
      </c>
      <c r="B149" s="1189"/>
      <c r="C149" s="981" t="str">
        <f>VLOOKUP(M149,ASIGNATURAS!$F$1:$L$1022, 4, FALSE)</f>
        <v>Regulación Automática</v>
      </c>
      <c r="D149" s="982"/>
      <c r="E149" s="982"/>
      <c r="F149" s="982"/>
      <c r="G149" s="982"/>
      <c r="H149" s="982"/>
      <c r="I149" s="982"/>
      <c r="J149" s="982"/>
      <c r="K149" s="982"/>
      <c r="L149" s="983"/>
      <c r="M149" s="936">
        <v>6414</v>
      </c>
      <c r="N149" s="937"/>
      <c r="O149" s="936">
        <f>VLOOKUP(M149,ASIGNATURAS!$F$1:$L$1022, 5, FALSE)</f>
        <v>6</v>
      </c>
      <c r="P149" s="937"/>
      <c r="Q149" s="981" t="str">
        <f>VLOOKUP(M149,ASIGNATURAS!$F$1:$L$1022, 6, FALSE)</f>
        <v>Gabriel  Rubio Pérez</v>
      </c>
      <c r="R149" s="982"/>
      <c r="S149" s="982"/>
      <c r="T149" s="982"/>
      <c r="U149" s="982"/>
      <c r="V149" s="982"/>
      <c r="W149" s="982"/>
      <c r="X149" s="982"/>
      <c r="Y149" s="982"/>
      <c r="Z149" s="982"/>
      <c r="AA149" s="982"/>
      <c r="AB149" s="982"/>
      <c r="AC149" s="982"/>
      <c r="AD149" s="982"/>
      <c r="AE149" s="983"/>
    </row>
    <row r="150" spans="1:31" ht="13.8" x14ac:dyDescent="0.25">
      <c r="A150" s="1188" t="str">
        <f>VLOOKUP(M150,ASIGNATURAS!$F$1:$L$1022, 3, FALSE)</f>
        <v>SIST. ELECTRON.</v>
      </c>
      <c r="B150" s="1189"/>
      <c r="C150" s="981" t="str">
        <f>VLOOKUP(M150,ASIGNATURAS!$F$1:$L$1022, 4, FALSE)</f>
        <v>Tecnología de los Sistemas Electrónicos</v>
      </c>
      <c r="D150" s="982"/>
      <c r="E150" s="982"/>
      <c r="F150" s="982"/>
      <c r="G150" s="982"/>
      <c r="H150" s="982"/>
      <c r="I150" s="982"/>
      <c r="J150" s="982"/>
      <c r="K150" s="982"/>
      <c r="L150" s="983"/>
      <c r="M150" s="936">
        <v>6415</v>
      </c>
      <c r="N150" s="937"/>
      <c r="O150" s="936">
        <f>VLOOKUP(M150,ASIGNATURAS!$F$1:$L$1022, 5, FALSE)</f>
        <v>6</v>
      </c>
      <c r="P150" s="937"/>
      <c r="Q150" s="981" t="str">
        <f>VLOOKUP(M150,ASIGNATURAS!$F$1:$L$1022, 6, FALSE)</f>
        <v>Miguel Ángel Cantera, Guzmán Moreno</v>
      </c>
      <c r="R150" s="982"/>
      <c r="S150" s="982"/>
      <c r="T150" s="982"/>
      <c r="U150" s="982"/>
      <c r="V150" s="982"/>
      <c r="W150" s="982"/>
      <c r="X150" s="982"/>
      <c r="Y150" s="982"/>
      <c r="Z150" s="982"/>
      <c r="AA150" s="982"/>
      <c r="AB150" s="982"/>
      <c r="AC150" s="982"/>
      <c r="AD150" s="982"/>
      <c r="AE150" s="983"/>
    </row>
    <row r="151" spans="1:31" ht="14.4" thickBot="1" x14ac:dyDescent="0.3">
      <c r="A151" s="1201" t="str">
        <f>VLOOKUP(M151,ASIGNATURAS!$F$1:$L$1022, 3, FALSE)</f>
        <v>MAQUINAS ELEC.</v>
      </c>
      <c r="B151" s="1372"/>
      <c r="C151" s="1022" t="str">
        <f>VLOOKUP(M151,ASIGNATURAS!$F$1:$L$1022, 4, FALSE)</f>
        <v>Máquinas Eléctricas</v>
      </c>
      <c r="D151" s="1023"/>
      <c r="E151" s="1023"/>
      <c r="F151" s="1023"/>
      <c r="G151" s="1023"/>
      <c r="H151" s="1023"/>
      <c r="I151" s="1023"/>
      <c r="J151" s="1023"/>
      <c r="K151" s="1023"/>
      <c r="L151" s="1024"/>
      <c r="M151" s="1295">
        <v>6416</v>
      </c>
      <c r="N151" s="1296"/>
      <c r="O151" s="1295">
        <f>VLOOKUP(M151,ASIGNATURAS!$F$1:$L$1022, 5, FALSE)</f>
        <v>6</v>
      </c>
      <c r="P151" s="1296"/>
      <c r="Q151" s="1022" t="str">
        <f>VLOOKUP(M151,ASIGNATURAS!$F$1:$L$1022, 6, FALSE)</f>
        <v>Vanesa Fernández Cavero</v>
      </c>
      <c r="R151" s="1023"/>
      <c r="S151" s="1023"/>
      <c r="T151" s="1023"/>
      <c r="U151" s="1023"/>
      <c r="V151" s="1023"/>
      <c r="W151" s="1023"/>
      <c r="X151" s="1023"/>
      <c r="Y151" s="1023"/>
      <c r="Z151" s="1023"/>
      <c r="AA151" s="1023"/>
      <c r="AB151" s="1023"/>
      <c r="AC151" s="1023"/>
      <c r="AD151" s="1023"/>
      <c r="AE151" s="1024"/>
    </row>
    <row r="154" spans="1:31" ht="24" customHeight="1" x14ac:dyDescent="0.25">
      <c r="A154" s="1145" t="s">
        <v>1005</v>
      </c>
      <c r="B154" s="1145"/>
      <c r="C154" s="1145"/>
      <c r="D154" s="1145"/>
      <c r="E154" s="1145"/>
    </row>
    <row r="155" spans="1:31" ht="24" customHeight="1" x14ac:dyDescent="0.25">
      <c r="A155" s="1557" t="s">
        <v>1007</v>
      </c>
      <c r="B155" s="1557"/>
      <c r="C155" s="1557"/>
      <c r="D155" s="1557"/>
      <c r="E155" s="1557"/>
    </row>
    <row r="157" spans="1:31" ht="13.8" thickBot="1" x14ac:dyDescent="0.3">
      <c r="A157" s="25" t="s">
        <v>213</v>
      </c>
    </row>
    <row r="158" spans="1:31" s="1" customFormat="1" ht="31.5" customHeight="1" thickBot="1" x14ac:dyDescent="0.45">
      <c r="A158" s="1135" t="str">
        <f>VLOOKUP(A161,ASIGNATURAS!$A$2:$D$151, 3, FALSE)</f>
        <v>3º Grado en Ingeniería Electrónica Industrial y Automática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7"/>
      <c r="Z158" s="1064" t="str">
        <f>Z127</f>
        <v>Curso 2024-2025</v>
      </c>
      <c r="AA158" s="1065"/>
      <c r="AB158" s="1065"/>
      <c r="AC158" s="1065"/>
      <c r="AD158" s="1065"/>
      <c r="AE158" s="1066"/>
    </row>
    <row r="159" spans="1:31"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4"/>
      <c r="Z159" s="1013" t="s">
        <v>158</v>
      </c>
      <c r="AA159" s="1013"/>
      <c r="AB159" s="1013"/>
      <c r="AC159" s="1013"/>
      <c r="AD159" s="1013"/>
      <c r="AE159" s="1014"/>
    </row>
    <row r="160" spans="1:31"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4"/>
      <c r="Z160" s="1015"/>
      <c r="AA160" s="1015"/>
      <c r="AB160" s="1015"/>
      <c r="AC160" s="1015"/>
      <c r="AD160" s="1015"/>
      <c r="AE160" s="1016"/>
    </row>
    <row r="161" spans="1:46" ht="38.25" customHeight="1" thickBot="1" x14ac:dyDescent="0.3">
      <c r="A161" s="9" t="s">
        <v>55</v>
      </c>
    </row>
    <row r="162" spans="1:46" s="2" customFormat="1" ht="24" customHeight="1" thickBot="1" x14ac:dyDescent="0.3">
      <c r="A162" s="19" t="s">
        <v>1</v>
      </c>
      <c r="B162" s="1064" t="s">
        <v>2</v>
      </c>
      <c r="C162" s="1065"/>
      <c r="D162" s="1065"/>
      <c r="E162" s="1065"/>
      <c r="F162" s="1065"/>
      <c r="G162" s="1066"/>
      <c r="H162" s="1064" t="s">
        <v>3</v>
      </c>
      <c r="I162" s="1065"/>
      <c r="J162" s="1065"/>
      <c r="K162" s="1065"/>
      <c r="L162" s="1065"/>
      <c r="M162" s="1066"/>
      <c r="N162" s="1064" t="s">
        <v>135</v>
      </c>
      <c r="O162" s="1065"/>
      <c r="P162" s="1065"/>
      <c r="Q162" s="1065"/>
      <c r="R162" s="1065"/>
      <c r="S162" s="1066"/>
      <c r="T162" s="1064" t="s">
        <v>4</v>
      </c>
      <c r="U162" s="1065"/>
      <c r="V162" s="1065"/>
      <c r="W162" s="1065"/>
      <c r="X162" s="1065"/>
      <c r="Y162" s="1066"/>
      <c r="Z162" s="975" t="s">
        <v>5</v>
      </c>
      <c r="AA162" s="976"/>
      <c r="AB162" s="976"/>
      <c r="AC162" s="976"/>
      <c r="AD162" s="976"/>
      <c r="AE162" s="977"/>
    </row>
    <row r="163" spans="1:46" ht="30" customHeight="1" x14ac:dyDescent="0.3">
      <c r="A163" s="1160" t="s">
        <v>10</v>
      </c>
      <c r="B163" s="1002" t="s">
        <v>254</v>
      </c>
      <c r="C163" s="1003"/>
      <c r="D163" s="1003"/>
      <c r="E163" s="1003"/>
      <c r="F163" s="1003"/>
      <c r="G163" s="1004"/>
      <c r="H163" s="1003" t="s">
        <v>82</v>
      </c>
      <c r="I163" s="1003"/>
      <c r="J163" s="1003"/>
      <c r="K163" s="1003"/>
      <c r="L163" s="1003"/>
      <c r="M163" s="1004"/>
      <c r="N163" s="1002" t="s">
        <v>81</v>
      </c>
      <c r="O163" s="1003"/>
      <c r="P163" s="1003"/>
      <c r="Q163" s="1003"/>
      <c r="R163" s="1003"/>
      <c r="S163" s="1004"/>
      <c r="T163" s="1002" t="s">
        <v>91</v>
      </c>
      <c r="U163" s="1003"/>
      <c r="V163" s="1003"/>
      <c r="W163" s="1003"/>
      <c r="X163" s="1003"/>
      <c r="Y163" s="1004"/>
      <c r="Z163" s="995" t="s">
        <v>83</v>
      </c>
      <c r="AA163" s="995"/>
      <c r="AB163" s="995"/>
      <c r="AC163" s="995"/>
      <c r="AD163" s="995"/>
      <c r="AE163" s="996"/>
    </row>
    <row r="164" spans="1:46" ht="30" customHeight="1" x14ac:dyDescent="0.25">
      <c r="A164" s="1161"/>
      <c r="B164" s="951" t="s">
        <v>158</v>
      </c>
      <c r="C164" s="952"/>
      <c r="D164" s="952"/>
      <c r="E164" s="952"/>
      <c r="F164" s="952"/>
      <c r="G164" s="953"/>
      <c r="H164" s="951" t="s">
        <v>158</v>
      </c>
      <c r="I164" s="952"/>
      <c r="J164" s="952"/>
      <c r="K164" s="952"/>
      <c r="L164" s="952"/>
      <c r="M164" s="953"/>
      <c r="N164" s="951" t="s">
        <v>158</v>
      </c>
      <c r="O164" s="952"/>
      <c r="P164" s="952"/>
      <c r="Q164" s="952"/>
      <c r="R164" s="952"/>
      <c r="S164" s="953"/>
      <c r="T164" s="951" t="s">
        <v>158</v>
      </c>
      <c r="U164" s="952"/>
      <c r="V164" s="952"/>
      <c r="W164" s="952"/>
      <c r="X164" s="952"/>
      <c r="Y164" s="953"/>
      <c r="Z164" s="951" t="s">
        <v>158</v>
      </c>
      <c r="AA164" s="952"/>
      <c r="AB164" s="952"/>
      <c r="AC164" s="952"/>
      <c r="AD164" s="952"/>
      <c r="AE164" s="953"/>
    </row>
    <row r="165" spans="1:46" ht="30" customHeight="1" x14ac:dyDescent="0.3">
      <c r="A165" s="1161" t="s">
        <v>11</v>
      </c>
      <c r="B165" s="994" t="s">
        <v>254</v>
      </c>
      <c r="C165" s="995"/>
      <c r="D165" s="995"/>
      <c r="E165" s="995"/>
      <c r="F165" s="995"/>
      <c r="G165" s="996"/>
      <c r="H165" s="995" t="s">
        <v>82</v>
      </c>
      <c r="I165" s="995"/>
      <c r="J165" s="995"/>
      <c r="K165" s="995"/>
      <c r="L165" s="995"/>
      <c r="M165" s="996"/>
      <c r="N165" s="994" t="s">
        <v>81</v>
      </c>
      <c r="O165" s="995"/>
      <c r="P165" s="995"/>
      <c r="Q165" s="995"/>
      <c r="R165" s="995"/>
      <c r="S165" s="996"/>
      <c r="T165" s="994" t="s">
        <v>91</v>
      </c>
      <c r="U165" s="995"/>
      <c r="V165" s="995"/>
      <c r="W165" s="995"/>
      <c r="X165" s="995"/>
      <c r="Y165" s="996"/>
      <c r="Z165" s="995" t="s">
        <v>83</v>
      </c>
      <c r="AA165" s="995"/>
      <c r="AB165" s="995"/>
      <c r="AC165" s="995"/>
      <c r="AD165" s="995"/>
      <c r="AE165" s="996"/>
      <c r="AS165" s="102"/>
      <c r="AT165" s="102"/>
    </row>
    <row r="166" spans="1:46" ht="30" customHeight="1" x14ac:dyDescent="0.25">
      <c r="A166" s="1161"/>
      <c r="B166" s="951" t="s">
        <v>158</v>
      </c>
      <c r="C166" s="952"/>
      <c r="D166" s="952"/>
      <c r="E166" s="952"/>
      <c r="F166" s="952"/>
      <c r="G166" s="953"/>
      <c r="H166" s="951" t="s">
        <v>158</v>
      </c>
      <c r="I166" s="952"/>
      <c r="J166" s="952"/>
      <c r="K166" s="952"/>
      <c r="L166" s="952"/>
      <c r="M166" s="953"/>
      <c r="N166" s="951" t="s">
        <v>158</v>
      </c>
      <c r="O166" s="952"/>
      <c r="P166" s="952"/>
      <c r="Q166" s="952"/>
      <c r="R166" s="952"/>
      <c r="S166" s="953"/>
      <c r="T166" s="951" t="s">
        <v>158</v>
      </c>
      <c r="U166" s="952"/>
      <c r="V166" s="952"/>
      <c r="W166" s="952"/>
      <c r="X166" s="952"/>
      <c r="Y166" s="953"/>
      <c r="Z166" s="951" t="s">
        <v>158</v>
      </c>
      <c r="AA166" s="952"/>
      <c r="AB166" s="952"/>
      <c r="AC166" s="952"/>
      <c r="AD166" s="952"/>
      <c r="AE166" s="953"/>
    </row>
    <row r="167" spans="1:46" ht="30" customHeight="1" x14ac:dyDescent="0.25">
      <c r="A167" s="1321" t="s">
        <v>6</v>
      </c>
      <c r="B167" s="20"/>
      <c r="C167" s="20"/>
      <c r="D167" s="20"/>
      <c r="E167" s="967"/>
      <c r="F167" s="1166"/>
      <c r="G167" s="1168"/>
      <c r="H167" s="1398" t="s">
        <v>81</v>
      </c>
      <c r="I167" s="938" t="s">
        <v>569</v>
      </c>
      <c r="J167" s="1051" t="s">
        <v>667</v>
      </c>
      <c r="K167" s="1625"/>
      <c r="L167" s="973"/>
      <c r="M167" s="1644"/>
      <c r="N167" s="967"/>
      <c r="O167" s="1166"/>
      <c r="P167" s="1149"/>
      <c r="Q167" s="1286" t="s">
        <v>83</v>
      </c>
      <c r="R167" s="938" t="s">
        <v>569</v>
      </c>
      <c r="S167" s="1224" t="s">
        <v>632</v>
      </c>
      <c r="T167" s="1532" t="s">
        <v>82</v>
      </c>
      <c r="U167" s="1223" t="s">
        <v>569</v>
      </c>
      <c r="V167" s="1324" t="s">
        <v>667</v>
      </c>
      <c r="W167" s="1569"/>
      <c r="X167" s="973"/>
      <c r="Y167" s="1214"/>
      <c r="Z167" s="967"/>
      <c r="AA167" s="1166"/>
      <c r="AB167" s="1149"/>
      <c r="AC167" s="967"/>
      <c r="AD167" s="1166"/>
      <c r="AE167" s="1639"/>
    </row>
    <row r="168" spans="1:46" ht="30" customHeight="1" x14ac:dyDescent="0.25">
      <c r="A168" s="1321"/>
      <c r="B168" s="20"/>
      <c r="C168" s="20"/>
      <c r="D168" s="20"/>
      <c r="E168" s="968"/>
      <c r="F168" s="1166"/>
      <c r="G168" s="1168"/>
      <c r="H168" s="1398"/>
      <c r="I168" s="938"/>
      <c r="J168" s="1051"/>
      <c r="K168" s="1625"/>
      <c r="L168" s="973"/>
      <c r="M168" s="1644"/>
      <c r="N168" s="968"/>
      <c r="O168" s="1166"/>
      <c r="P168" s="1149"/>
      <c r="Q168" s="1287"/>
      <c r="R168" s="938"/>
      <c r="S168" s="1224"/>
      <c r="T168" s="1398"/>
      <c r="U168" s="938"/>
      <c r="V168" s="1051"/>
      <c r="W168" s="1570"/>
      <c r="X168" s="973"/>
      <c r="Y168" s="1214"/>
      <c r="Z168" s="968"/>
      <c r="AA168" s="1166"/>
      <c r="AB168" s="1149"/>
      <c r="AC168" s="968"/>
      <c r="AD168" s="1166"/>
      <c r="AE168" s="1639"/>
      <c r="AF168" s="33"/>
    </row>
    <row r="169" spans="1:46" ht="30" customHeight="1" x14ac:dyDescent="0.25">
      <c r="A169" s="1161" t="s">
        <v>7</v>
      </c>
      <c r="B169" s="494"/>
      <c r="C169" s="20"/>
      <c r="D169" s="20"/>
      <c r="E169" s="968"/>
      <c r="F169" s="1166"/>
      <c r="G169" s="1168"/>
      <c r="H169" s="1398"/>
      <c r="I169" s="938"/>
      <c r="J169" s="1051"/>
      <c r="K169" s="1625"/>
      <c r="L169" s="973"/>
      <c r="M169" s="1644"/>
      <c r="N169" s="968"/>
      <c r="O169" s="1166"/>
      <c r="P169" s="1149"/>
      <c r="Q169" s="1287"/>
      <c r="R169" s="938"/>
      <c r="S169" s="1224"/>
      <c r="T169" s="1398"/>
      <c r="U169" s="938"/>
      <c r="V169" s="1051"/>
      <c r="W169" s="1570"/>
      <c r="X169" s="973"/>
      <c r="Y169" s="1214"/>
      <c r="Z169" s="968"/>
      <c r="AA169" s="1166"/>
      <c r="AB169" s="1149"/>
      <c r="AC169" s="968"/>
      <c r="AD169" s="1166"/>
      <c r="AE169" s="1639"/>
    </row>
    <row r="170" spans="1:46" ht="30" customHeight="1" x14ac:dyDescent="0.25">
      <c r="A170" s="1161"/>
      <c r="B170" s="491"/>
      <c r="C170" s="492"/>
      <c r="D170" s="417"/>
      <c r="E170" s="1400"/>
      <c r="F170" s="1397"/>
      <c r="G170" s="1379"/>
      <c r="H170" s="1399"/>
      <c r="I170" s="1053"/>
      <c r="J170" s="1052"/>
      <c r="K170" s="1626"/>
      <c r="L170" s="1511"/>
      <c r="M170" s="1645"/>
      <c r="N170" s="1400"/>
      <c r="O170" s="1397"/>
      <c r="P170" s="1340"/>
      <c r="Q170" s="1558"/>
      <c r="R170" s="1053"/>
      <c r="S170" s="1225"/>
      <c r="T170" s="1399"/>
      <c r="U170" s="938"/>
      <c r="V170" s="1052"/>
      <c r="W170" s="1638"/>
      <c r="X170" s="973"/>
      <c r="Y170" s="1215"/>
      <c r="Z170" s="1400"/>
      <c r="AA170" s="1397"/>
      <c r="AB170" s="1340"/>
      <c r="AC170" s="1400"/>
      <c r="AD170" s="1397"/>
      <c r="AE170" s="1640"/>
    </row>
    <row r="171" spans="1:46" ht="30" customHeight="1" x14ac:dyDescent="0.25">
      <c r="A171" s="1321" t="s">
        <v>8</v>
      </c>
      <c r="B171" s="20"/>
      <c r="C171" s="20"/>
      <c r="D171" s="20"/>
      <c r="E171" s="967"/>
      <c r="F171" s="1165"/>
      <c r="G171" s="1540"/>
      <c r="H171" s="1532" t="s">
        <v>254</v>
      </c>
      <c r="I171" s="1223" t="s">
        <v>569</v>
      </c>
      <c r="J171" s="1224" t="s">
        <v>1306</v>
      </c>
      <c r="K171" s="1569"/>
      <c r="L171" s="972"/>
      <c r="M171" s="1541"/>
      <c r="N171" s="1387"/>
      <c r="O171" s="1166"/>
      <c r="P171" s="1339"/>
      <c r="Q171" s="1286" t="s">
        <v>91</v>
      </c>
      <c r="R171" s="938" t="s">
        <v>569</v>
      </c>
      <c r="S171" s="1334" t="s">
        <v>667</v>
      </c>
      <c r="T171" s="1387"/>
      <c r="U171" s="1165"/>
      <c r="V171" s="1357"/>
      <c r="W171" s="1559"/>
      <c r="X171" s="1165"/>
      <c r="Y171" s="1540"/>
      <c r="Z171" s="1543"/>
      <c r="AA171" s="1165"/>
      <c r="AB171" s="1356"/>
      <c r="AC171" s="1545"/>
      <c r="AD171" s="1546"/>
      <c r="AE171" s="1547"/>
    </row>
    <row r="172" spans="1:46" ht="30" customHeight="1" x14ac:dyDescent="0.25">
      <c r="A172" s="1321"/>
      <c r="B172" s="20"/>
      <c r="C172" s="20"/>
      <c r="D172" s="20"/>
      <c r="E172" s="968"/>
      <c r="F172" s="1166"/>
      <c r="G172" s="1168"/>
      <c r="H172" s="1398"/>
      <c r="I172" s="938"/>
      <c r="J172" s="1224"/>
      <c r="K172" s="1570"/>
      <c r="L172" s="973"/>
      <c r="M172" s="1214"/>
      <c r="N172" s="1387"/>
      <c r="O172" s="1166"/>
      <c r="P172" s="1149"/>
      <c r="Q172" s="1287"/>
      <c r="R172" s="938"/>
      <c r="S172" s="1334"/>
      <c r="T172" s="1387"/>
      <c r="U172" s="1166"/>
      <c r="V172" s="1357"/>
      <c r="W172" s="1560"/>
      <c r="X172" s="1166"/>
      <c r="Y172" s="1168"/>
      <c r="Z172" s="1387"/>
      <c r="AA172" s="1166"/>
      <c r="AB172" s="1357"/>
      <c r="AC172" s="1548"/>
      <c r="AD172" s="1218"/>
      <c r="AE172" s="1219"/>
    </row>
    <row r="173" spans="1:46" ht="30" customHeight="1" x14ac:dyDescent="0.25">
      <c r="A173" s="1321" t="s">
        <v>9</v>
      </c>
      <c r="B173" s="20"/>
      <c r="C173" s="20"/>
      <c r="D173" s="20"/>
      <c r="E173" s="968"/>
      <c r="F173" s="1166"/>
      <c r="G173" s="1168"/>
      <c r="H173" s="1398"/>
      <c r="I173" s="938"/>
      <c r="J173" s="1224"/>
      <c r="K173" s="1570"/>
      <c r="L173" s="973"/>
      <c r="M173" s="1214"/>
      <c r="N173" s="1387"/>
      <c r="O173" s="1166"/>
      <c r="P173" s="1149"/>
      <c r="Q173" s="1287"/>
      <c r="R173" s="938"/>
      <c r="S173" s="1334"/>
      <c r="T173" s="1387"/>
      <c r="U173" s="1166"/>
      <c r="V173" s="1357"/>
      <c r="W173" s="1560"/>
      <c r="X173" s="1166"/>
      <c r="Y173" s="1168"/>
      <c r="Z173" s="1387"/>
      <c r="AA173" s="1166"/>
      <c r="AB173" s="1357"/>
      <c r="AC173" s="1548"/>
      <c r="AD173" s="1218"/>
      <c r="AE173" s="1219"/>
    </row>
    <row r="174" spans="1:46" ht="30" customHeight="1" thickBot="1" x14ac:dyDescent="0.3">
      <c r="A174" s="1338"/>
      <c r="B174" s="414"/>
      <c r="C174" s="414"/>
      <c r="D174" s="20"/>
      <c r="E174" s="969"/>
      <c r="F174" s="1167"/>
      <c r="G174" s="1169"/>
      <c r="H174" s="1578"/>
      <c r="I174" s="1393"/>
      <c r="J174" s="1224"/>
      <c r="K174" s="1571"/>
      <c r="L174" s="974"/>
      <c r="M174" s="1542"/>
      <c r="N174" s="1544"/>
      <c r="O174" s="1167"/>
      <c r="P174" s="1562"/>
      <c r="Q174" s="1558"/>
      <c r="R174" s="1053"/>
      <c r="S174" s="1335"/>
      <c r="T174" s="1544"/>
      <c r="U174" s="1167"/>
      <c r="V174" s="1519"/>
      <c r="W174" s="1561"/>
      <c r="X174" s="1167"/>
      <c r="Y174" s="1169"/>
      <c r="Z174" s="1544"/>
      <c r="AA174" s="1167"/>
      <c r="AB174" s="1519"/>
      <c r="AC174" s="1549"/>
      <c r="AD174" s="1221"/>
      <c r="AE174" s="1222"/>
    </row>
    <row r="175" spans="1:46" ht="41.25" customHeight="1" thickBot="1" x14ac:dyDescent="0.3">
      <c r="D175" s="226"/>
      <c r="G175" s="226"/>
      <c r="J175" s="226"/>
      <c r="Q175" s="226"/>
      <c r="R175" s="226"/>
      <c r="S175" s="226"/>
    </row>
    <row r="176" spans="1:46" ht="18.75" customHeight="1" x14ac:dyDescent="0.25">
      <c r="A176" s="1033" t="s">
        <v>214</v>
      </c>
      <c r="B176" s="935"/>
      <c r="C176" s="934" t="s">
        <v>215</v>
      </c>
      <c r="D176" s="934"/>
      <c r="E176" s="934"/>
      <c r="F176" s="934"/>
      <c r="G176" s="934"/>
      <c r="H176" s="934"/>
      <c r="I176" s="934"/>
      <c r="J176" s="934"/>
      <c r="K176" s="934"/>
      <c r="L176" s="58"/>
      <c r="M176" s="1034" t="s">
        <v>305</v>
      </c>
      <c r="N176" s="1035"/>
      <c r="O176" s="934" t="s">
        <v>139</v>
      </c>
      <c r="P176" s="935"/>
      <c r="Q176" s="934" t="s">
        <v>163</v>
      </c>
      <c r="R176" s="934"/>
      <c r="S176" s="934"/>
      <c r="T176" s="934"/>
      <c r="U176" s="934"/>
      <c r="V176" s="934"/>
      <c r="W176" s="934"/>
      <c r="X176" s="934"/>
      <c r="Y176" s="934"/>
      <c r="Z176" s="934"/>
      <c r="AA176" s="934"/>
      <c r="AB176" s="934"/>
      <c r="AC176" s="934"/>
      <c r="AD176" s="934"/>
      <c r="AE176" s="935"/>
    </row>
    <row r="177" spans="1:31" ht="13.8" x14ac:dyDescent="0.25">
      <c r="A177" s="1188" t="str">
        <f>VLOOKUP(M177,ASIGNATURAS!$F$1:$L$1022, 3, FALSE)</f>
        <v>ELECT. POTENCIA</v>
      </c>
      <c r="B177" s="1189"/>
      <c r="C177" s="981" t="str">
        <f>VLOOKUP(M177,ASIGNATURAS!$F$1:$L$1022, 4, FALSE)</f>
        <v>Electrónica de Potencia</v>
      </c>
      <c r="D177" s="982"/>
      <c r="E177" s="982"/>
      <c r="F177" s="982"/>
      <c r="G177" s="982"/>
      <c r="H177" s="982"/>
      <c r="I177" s="982"/>
      <c r="J177" s="982"/>
      <c r="K177" s="982"/>
      <c r="L177" s="983"/>
      <c r="M177" s="936">
        <v>6417</v>
      </c>
      <c r="N177" s="937"/>
      <c r="O177" s="936">
        <f>VLOOKUP(M177,ASIGNATURAS!$F$1:$L$1022, 5, FALSE)</f>
        <v>6</v>
      </c>
      <c r="P177" s="937"/>
      <c r="Q177" s="981" t="str">
        <f>VLOOKUP(M177,ASIGNATURAS!$F$1:$L$1022, 6, FALSE)</f>
        <v>Guirguis Zaki, Guzmán Moreno</v>
      </c>
      <c r="R177" s="982"/>
      <c r="S177" s="982"/>
      <c r="T177" s="982"/>
      <c r="U177" s="982"/>
      <c r="V177" s="982"/>
      <c r="W177" s="982"/>
      <c r="X177" s="982"/>
      <c r="Y177" s="982"/>
      <c r="Z177" s="982"/>
      <c r="AA177" s="982"/>
      <c r="AB177" s="982"/>
      <c r="AC177" s="982"/>
      <c r="AD177" s="982"/>
      <c r="AE177" s="983"/>
    </row>
    <row r="178" spans="1:31" ht="13.8" x14ac:dyDescent="0.25">
      <c r="A178" s="1188" t="str">
        <f>VLOOKUP(M178,ASIGNATURAS!$F$1:$L$1022, 3, FALSE)</f>
        <v>SIST. MICRO.</v>
      </c>
      <c r="B178" s="1189"/>
      <c r="C178" s="981" t="str">
        <f>VLOOKUP(M178,ASIGNATURAS!$F$1:$L$1022, 4, FALSE)</f>
        <v>Sistemas Basados en Microprocesad.</v>
      </c>
      <c r="D178" s="982"/>
      <c r="E178" s="982"/>
      <c r="F178" s="982"/>
      <c r="G178" s="982"/>
      <c r="H178" s="982"/>
      <c r="I178" s="982"/>
      <c r="J178" s="982"/>
      <c r="K178" s="982"/>
      <c r="L178" s="983"/>
      <c r="M178" s="936">
        <v>6418</v>
      </c>
      <c r="N178" s="937"/>
      <c r="O178" s="936">
        <f>VLOOKUP(M178,ASIGNATURAS!$F$1:$L$1022, 5, FALSE)</f>
        <v>6</v>
      </c>
      <c r="P178" s="937"/>
      <c r="Q178" s="981" t="str">
        <f>VLOOKUP(M178,ASIGNATURAS!$F$1:$L$1022, 6, FALSE)</f>
        <v>Miguel Ángel Cantera Cuartango,</v>
      </c>
      <c r="R178" s="982"/>
      <c r="S178" s="982"/>
      <c r="T178" s="982"/>
      <c r="U178" s="982"/>
      <c r="V178" s="982"/>
      <c r="W178" s="982"/>
      <c r="X178" s="982"/>
      <c r="Y178" s="982"/>
      <c r="Z178" s="982"/>
      <c r="AA178" s="982"/>
      <c r="AB178" s="982"/>
      <c r="AC178" s="982"/>
      <c r="AD178" s="982"/>
      <c r="AE178" s="983"/>
    </row>
    <row r="179" spans="1:31" ht="13.8" x14ac:dyDescent="0.25">
      <c r="A179" s="1188" t="str">
        <f>VLOOKUP(M179,ASIGNATURAS!$F$1:$L$1022, 3, FALSE)</f>
        <v>INSTR. ELECT.</v>
      </c>
      <c r="B179" s="1189"/>
      <c r="C179" s="981" t="str">
        <f>VLOOKUP(M179,ASIGNATURAS!$F$1:$L$1022, 4, FALSE)</f>
        <v>Instrumentación Electrónica</v>
      </c>
      <c r="D179" s="982"/>
      <c r="E179" s="982"/>
      <c r="F179" s="982"/>
      <c r="G179" s="982"/>
      <c r="H179" s="982"/>
      <c r="I179" s="982"/>
      <c r="J179" s="982"/>
      <c r="K179" s="982"/>
      <c r="L179" s="983"/>
      <c r="M179" s="936">
        <v>6419</v>
      </c>
      <c r="N179" s="937"/>
      <c r="O179" s="936">
        <f>VLOOKUP(M179,ASIGNATURAS!$F$1:$L$1022, 5, FALSE)</f>
        <v>6</v>
      </c>
      <c r="P179" s="937"/>
      <c r="Q179" s="981" t="str">
        <f>VLOOKUP(M179,ASIGNATURAS!$F$1:$L$1022, 6, FALSE)</f>
        <v>Ignacio Moreno Velasco</v>
      </c>
      <c r="R179" s="982"/>
      <c r="S179" s="982"/>
      <c r="T179" s="982"/>
      <c r="U179" s="982"/>
      <c r="V179" s="982"/>
      <c r="W179" s="982"/>
      <c r="X179" s="982"/>
      <c r="Y179" s="982"/>
      <c r="Z179" s="982"/>
      <c r="AA179" s="982"/>
      <c r="AB179" s="982"/>
      <c r="AC179" s="982"/>
      <c r="AD179" s="982"/>
      <c r="AE179" s="983"/>
    </row>
    <row r="180" spans="1:31" ht="13.8" x14ac:dyDescent="0.25">
      <c r="A180" s="1188" t="str">
        <f>VLOOKUP(M180,ASIGNATURAS!$F$1:$L$1022, 3, FALSE)</f>
        <v>CONTROL PROC.</v>
      </c>
      <c r="B180" s="1189"/>
      <c r="C180" s="981" t="str">
        <f>VLOOKUP(M180,ASIGNATURAS!$F$1:$L$1022, 4, FALSE)</f>
        <v>Control de Procesos Industriales</v>
      </c>
      <c r="D180" s="982"/>
      <c r="E180" s="982"/>
      <c r="F180" s="982"/>
      <c r="G180" s="982"/>
      <c r="H180" s="982"/>
      <c r="I180" s="982"/>
      <c r="J180" s="982"/>
      <c r="K180" s="982"/>
      <c r="L180" s="983"/>
      <c r="M180" s="936">
        <v>6420</v>
      </c>
      <c r="N180" s="937"/>
      <c r="O180" s="936">
        <f>VLOOKUP(M180,ASIGNATURAS!$F$1:$L$1022, 5, FALSE)</f>
        <v>6</v>
      </c>
      <c r="P180" s="937"/>
      <c r="Q180" s="981" t="str">
        <f>VLOOKUP(M180,ASIGNATURAS!$F$1:$L$1022, 6, FALSE)</f>
        <v>Rubén Ruiz</v>
      </c>
      <c r="R180" s="982"/>
      <c r="S180" s="982"/>
      <c r="T180" s="982"/>
      <c r="U180" s="982"/>
      <c r="V180" s="982"/>
      <c r="W180" s="982"/>
      <c r="X180" s="982"/>
      <c r="Y180" s="982"/>
      <c r="Z180" s="982"/>
      <c r="AA180" s="982"/>
      <c r="AB180" s="982"/>
      <c r="AC180" s="982"/>
      <c r="AD180" s="982"/>
      <c r="AE180" s="983"/>
    </row>
    <row r="181" spans="1:31" ht="14.4" thickBot="1" x14ac:dyDescent="0.3">
      <c r="A181" s="1201" t="str">
        <f>VLOOKUP(M181,ASIGNATURAS!$F$1:$L$1022, 3, FALSE)</f>
        <v>PROD. Y FABRIC.</v>
      </c>
      <c r="B181" s="1372"/>
      <c r="C181" s="1022" t="str">
        <f>VLOOKUP(M181,ASIGNATURAS!$F$1:$L$1022, 4, FALSE)</f>
        <v>Sistemas de Producción y Fabricación</v>
      </c>
      <c r="D181" s="1023"/>
      <c r="E181" s="1023"/>
      <c r="F181" s="1023"/>
      <c r="G181" s="1023"/>
      <c r="H181" s="1023"/>
      <c r="I181" s="1023"/>
      <c r="J181" s="1023"/>
      <c r="K181" s="1023"/>
      <c r="L181" s="1024"/>
      <c r="M181" s="1295">
        <v>6421</v>
      </c>
      <c r="N181" s="1296"/>
      <c r="O181" s="1295">
        <f>VLOOKUP(M181,ASIGNATURAS!$F$1:$L$1022, 5, FALSE)</f>
        <v>6</v>
      </c>
      <c r="P181" s="1296"/>
      <c r="Q181" s="1022" t="str">
        <f>VLOOKUP(M181,ASIGNATURAS!$F$1:$L$1022, 6, FALSE)</f>
        <v xml:space="preserve">Juan Marcos de las Heras, Miriam Lorenzo </v>
      </c>
      <c r="R181" s="1023"/>
      <c r="S181" s="1023"/>
      <c r="T181" s="1023"/>
      <c r="U181" s="1023"/>
      <c r="V181" s="1023"/>
      <c r="W181" s="1023"/>
      <c r="X181" s="1023"/>
      <c r="Y181" s="1023"/>
      <c r="Z181" s="1023"/>
      <c r="AA181" s="1023"/>
      <c r="AB181" s="1023"/>
      <c r="AC181" s="1023"/>
      <c r="AD181" s="1023"/>
      <c r="AE181" s="1024"/>
    </row>
    <row r="184" spans="1:31" ht="24" customHeight="1" x14ac:dyDescent="0.25">
      <c r="A184" s="1145" t="s">
        <v>1005</v>
      </c>
      <c r="B184" s="1145"/>
      <c r="C184" s="1145"/>
      <c r="D184" s="1145"/>
      <c r="E184" s="1145"/>
    </row>
    <row r="185" spans="1:31" ht="24" customHeight="1" x14ac:dyDescent="0.25">
      <c r="A185" s="1557" t="s">
        <v>1007</v>
      </c>
      <c r="B185" s="1557"/>
      <c r="C185" s="1557"/>
      <c r="D185" s="1557"/>
      <c r="E185" s="1557"/>
    </row>
    <row r="187" spans="1:31" x14ac:dyDescent="0.25">
      <c r="A187" s="25" t="s">
        <v>213</v>
      </c>
    </row>
    <row r="188" spans="1:31" ht="13.8" thickBot="1" x14ac:dyDescent="0.3"/>
    <row r="189" spans="1:31" s="1" customFormat="1" ht="31.5" customHeight="1" thickBot="1" x14ac:dyDescent="0.45">
      <c r="A189" s="1135" t="str">
        <f>VLOOKUP(A192,ASIGNATURAS!$A$2:$D$151, 3, FALSE)</f>
        <v>4º Grado en Ingeniería Electrónica Industrial y Automática</v>
      </c>
      <c r="B189" s="1136"/>
      <c r="C189" s="1136"/>
      <c r="D189" s="1136"/>
      <c r="E189" s="1136"/>
      <c r="F189" s="1136"/>
      <c r="G189" s="1136"/>
      <c r="H189" s="1136"/>
      <c r="I189" s="1136"/>
      <c r="J189" s="1136"/>
      <c r="K189" s="1136"/>
      <c r="L189" s="1136"/>
      <c r="M189" s="1136"/>
      <c r="N189" s="1136"/>
      <c r="O189" s="1136"/>
      <c r="P189" s="1136"/>
      <c r="Q189" s="1136"/>
      <c r="R189" s="1136"/>
      <c r="S189" s="1136"/>
      <c r="T189" s="1136"/>
      <c r="U189" s="1136"/>
      <c r="V189" s="1136"/>
      <c r="W189" s="1136"/>
      <c r="X189" s="1136"/>
      <c r="Y189" s="1137"/>
      <c r="Z189" s="1064" t="str">
        <f>Z158</f>
        <v>Curso 2024-2025</v>
      </c>
      <c r="AA189" s="1065"/>
      <c r="AB189" s="1065"/>
      <c r="AC189" s="1065"/>
      <c r="AD189" s="1065"/>
      <c r="AE189" s="1066"/>
    </row>
    <row r="190" spans="1:31" s="8" customFormat="1" ht="23.25" customHeight="1" thickBot="1" x14ac:dyDescent="0.45">
      <c r="A190" s="1132" t="str">
        <f>VLOOKUP(A192,ASIGNATURAS!$A$2:$D$151, 2, FALSE)</f>
        <v>Semestre temporal: 1º        (7º Semestre Académico)</v>
      </c>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4"/>
      <c r="Z190" s="1013" t="s">
        <v>156</v>
      </c>
      <c r="AA190" s="1013"/>
      <c r="AB190" s="1013"/>
      <c r="AC190" s="1013"/>
      <c r="AD190" s="1013"/>
      <c r="AE190" s="1014"/>
    </row>
    <row r="191" spans="1:31" s="8" customFormat="1" ht="23.25" customHeight="1" thickBot="1" x14ac:dyDescent="0.45">
      <c r="A191" s="1132" t="s">
        <v>177</v>
      </c>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3"/>
      <c r="W191" s="1133"/>
      <c r="X191" s="1133"/>
      <c r="Y191" s="1134"/>
      <c r="Z191" s="1015"/>
      <c r="AA191" s="1015"/>
      <c r="AB191" s="1015"/>
      <c r="AC191" s="1015"/>
      <c r="AD191" s="1015"/>
      <c r="AE191" s="1016"/>
    </row>
    <row r="192" spans="1:31" ht="38.25" customHeight="1" thickBot="1" x14ac:dyDescent="0.3">
      <c r="A192" s="9" t="s">
        <v>56</v>
      </c>
    </row>
    <row r="193" spans="1:43" s="2" customFormat="1" ht="24" customHeight="1" thickBot="1" x14ac:dyDescent="0.3">
      <c r="A193" s="19" t="s">
        <v>1</v>
      </c>
      <c r="B193" s="1064" t="s">
        <v>2</v>
      </c>
      <c r="C193" s="1065"/>
      <c r="D193" s="1065"/>
      <c r="E193" s="1065"/>
      <c r="F193" s="1065"/>
      <c r="G193" s="1066"/>
      <c r="H193" s="1064" t="s">
        <v>3</v>
      </c>
      <c r="I193" s="1065"/>
      <c r="J193" s="1065"/>
      <c r="K193" s="1065"/>
      <c r="L193" s="1065"/>
      <c r="M193" s="1066"/>
      <c r="N193" s="1064" t="s">
        <v>135</v>
      </c>
      <c r="O193" s="1065"/>
      <c r="P193" s="1065"/>
      <c r="Q193" s="1065"/>
      <c r="R193" s="1065"/>
      <c r="S193" s="1066"/>
      <c r="T193" s="1064" t="s">
        <v>4</v>
      </c>
      <c r="U193" s="1065"/>
      <c r="V193" s="1065"/>
      <c r="W193" s="1065"/>
      <c r="X193" s="1065"/>
      <c r="Y193" s="1066"/>
      <c r="Z193" s="1064" t="s">
        <v>5</v>
      </c>
      <c r="AA193" s="1065"/>
      <c r="AB193" s="1065"/>
      <c r="AC193" s="1065"/>
      <c r="AD193" s="1065"/>
      <c r="AE193" s="1066"/>
    </row>
    <row r="194" spans="1:43" ht="87" customHeight="1" x14ac:dyDescent="0.3">
      <c r="A194" s="1128" t="s">
        <v>1116</v>
      </c>
      <c r="B194" s="1575"/>
      <c r="C194" s="1576"/>
      <c r="D194" s="1576"/>
      <c r="E194" s="1576"/>
      <c r="F194" s="1576"/>
      <c r="G194" s="1577"/>
      <c r="H194" s="1563" t="s">
        <v>86</v>
      </c>
      <c r="I194" s="1564"/>
      <c r="J194" s="1564"/>
      <c r="K194" s="1564"/>
      <c r="L194" s="1564"/>
      <c r="M194" s="1565"/>
      <c r="N194" s="333"/>
      <c r="O194" s="334"/>
      <c r="P194" s="334"/>
      <c r="Q194" s="334"/>
      <c r="R194" s="334"/>
      <c r="S194" s="335"/>
      <c r="T194" s="1575"/>
      <c r="U194" s="1576"/>
      <c r="V194" s="1576"/>
      <c r="W194" s="1576"/>
      <c r="X194" s="1576"/>
      <c r="Y194" s="1577"/>
      <c r="Z194" s="1632"/>
      <c r="AA194" s="1633"/>
      <c r="AB194" s="1633"/>
      <c r="AC194" s="1633"/>
      <c r="AD194" s="1633"/>
      <c r="AE194" s="1634"/>
      <c r="AF194" s="33"/>
    </row>
    <row r="195" spans="1:43" ht="27" customHeight="1" x14ac:dyDescent="0.25">
      <c r="A195" s="1105"/>
      <c r="B195" s="1551"/>
      <c r="C195" s="1552"/>
      <c r="D195" s="1552"/>
      <c r="E195" s="1552"/>
      <c r="F195" s="1552"/>
      <c r="G195" s="1553"/>
      <c r="H195" s="1041" t="s">
        <v>143</v>
      </c>
      <c r="I195" s="1042"/>
      <c r="J195" s="1042"/>
      <c r="K195" s="1042"/>
      <c r="L195" s="1042"/>
      <c r="M195" s="1043"/>
      <c r="N195" s="336"/>
      <c r="O195" s="337"/>
      <c r="P195" s="337"/>
      <c r="Q195" s="337"/>
      <c r="R195" s="337"/>
      <c r="S195" s="338"/>
      <c r="T195" s="1635"/>
      <c r="U195" s="1636"/>
      <c r="V195" s="1636"/>
      <c r="W195" s="1636"/>
      <c r="X195" s="1636"/>
      <c r="Y195" s="1637"/>
      <c r="Z195" s="1585"/>
      <c r="AA195" s="1586"/>
      <c r="AB195" s="1586"/>
      <c r="AC195" s="1586"/>
      <c r="AD195" s="1586"/>
      <c r="AE195" s="1587"/>
    </row>
    <row r="196" spans="1:43" ht="27" customHeight="1" x14ac:dyDescent="0.3">
      <c r="A196" s="1375" t="s">
        <v>8</v>
      </c>
      <c r="B196" s="1122" t="s">
        <v>358</v>
      </c>
      <c r="C196" s="1123"/>
      <c r="D196" s="1123"/>
      <c r="E196" s="1123"/>
      <c r="F196" s="1123"/>
      <c r="G196" s="1124"/>
      <c r="H196" s="1122" t="s">
        <v>349</v>
      </c>
      <c r="I196" s="1123"/>
      <c r="J196" s="1123"/>
      <c r="K196" s="1123"/>
      <c r="L196" s="1123"/>
      <c r="M196" s="1124"/>
      <c r="N196" s="1595"/>
      <c r="O196" s="1592"/>
      <c r="P196" s="1572"/>
      <c r="Q196" s="1559"/>
      <c r="R196" s="1165"/>
      <c r="S196" s="1356"/>
      <c r="T196" s="1122" t="s">
        <v>809</v>
      </c>
      <c r="U196" s="1123"/>
      <c r="V196" s="1123"/>
      <c r="W196" s="1123"/>
      <c r="X196" s="1123"/>
      <c r="Y196" s="1124"/>
      <c r="Z196" s="1566" t="s">
        <v>358</v>
      </c>
      <c r="AA196" s="1223" t="s">
        <v>569</v>
      </c>
      <c r="AB196" s="1324"/>
      <c r="AC196" s="1559"/>
      <c r="AD196" s="1165"/>
      <c r="AE196" s="1540"/>
    </row>
    <row r="197" spans="1:43" ht="21" customHeight="1" x14ac:dyDescent="0.25">
      <c r="A197" s="1105"/>
      <c r="B197" s="1041"/>
      <c r="C197" s="1042"/>
      <c r="D197" s="1042"/>
      <c r="E197" s="1042"/>
      <c r="F197" s="1042"/>
      <c r="G197" s="1043"/>
      <c r="H197" s="1041"/>
      <c r="I197" s="1042"/>
      <c r="J197" s="1042"/>
      <c r="K197" s="1042"/>
      <c r="L197" s="1042"/>
      <c r="M197" s="1043"/>
      <c r="N197" s="1596"/>
      <c r="O197" s="1593"/>
      <c r="P197" s="1573"/>
      <c r="Q197" s="1560"/>
      <c r="R197" s="1166"/>
      <c r="S197" s="1357"/>
      <c r="T197" s="1041"/>
      <c r="U197" s="1042"/>
      <c r="V197" s="1042"/>
      <c r="W197" s="1042"/>
      <c r="X197" s="1042"/>
      <c r="Y197" s="1043"/>
      <c r="Z197" s="1567"/>
      <c r="AA197" s="938"/>
      <c r="AB197" s="1051"/>
      <c r="AC197" s="1560"/>
      <c r="AD197" s="1166"/>
      <c r="AE197" s="1168"/>
    </row>
    <row r="198" spans="1:43" ht="27" customHeight="1" x14ac:dyDescent="0.3">
      <c r="A198" s="1550" t="s">
        <v>9</v>
      </c>
      <c r="B198" s="1038" t="s">
        <v>358</v>
      </c>
      <c r="C198" s="1039"/>
      <c r="D198" s="1039"/>
      <c r="E198" s="1039"/>
      <c r="F198" s="1039"/>
      <c r="G198" s="1040"/>
      <c r="H198" s="1038" t="s">
        <v>349</v>
      </c>
      <c r="I198" s="1039"/>
      <c r="J198" s="1039"/>
      <c r="K198" s="1039"/>
      <c r="L198" s="1039"/>
      <c r="M198" s="1040"/>
      <c r="N198" s="1596"/>
      <c r="O198" s="1593"/>
      <c r="P198" s="1573"/>
      <c r="Q198" s="1560"/>
      <c r="R198" s="1166"/>
      <c r="S198" s="1357"/>
      <c r="T198" s="1122" t="s">
        <v>809</v>
      </c>
      <c r="U198" s="1123"/>
      <c r="V198" s="1123"/>
      <c r="W198" s="1123"/>
      <c r="X198" s="1123"/>
      <c r="Y198" s="1124"/>
      <c r="Z198" s="1567"/>
      <c r="AA198" s="938"/>
      <c r="AB198" s="1051"/>
      <c r="AC198" s="1560"/>
      <c r="AD198" s="1166"/>
      <c r="AE198" s="1168"/>
    </row>
    <row r="199" spans="1:43" ht="21.75" customHeight="1" thickBot="1" x14ac:dyDescent="0.3">
      <c r="A199" s="1484"/>
      <c r="B199" s="1554"/>
      <c r="C199" s="1555"/>
      <c r="D199" s="1555"/>
      <c r="E199" s="1555"/>
      <c r="F199" s="1555"/>
      <c r="G199" s="1556"/>
      <c r="H199" s="1554"/>
      <c r="I199" s="1555"/>
      <c r="J199" s="1555"/>
      <c r="K199" s="1555"/>
      <c r="L199" s="1555"/>
      <c r="M199" s="1556"/>
      <c r="N199" s="1597"/>
      <c r="O199" s="1594"/>
      <c r="P199" s="1574"/>
      <c r="Q199" s="1561"/>
      <c r="R199" s="1167"/>
      <c r="S199" s="1519"/>
      <c r="T199" s="1554"/>
      <c r="U199" s="1555"/>
      <c r="V199" s="1555"/>
      <c r="W199" s="1555"/>
      <c r="X199" s="1555"/>
      <c r="Y199" s="1556"/>
      <c r="Z199" s="1568"/>
      <c r="AA199" s="1393"/>
      <c r="AB199" s="1485"/>
      <c r="AC199" s="1561"/>
      <c r="AD199" s="1167"/>
      <c r="AE199" s="1169"/>
    </row>
    <row r="200" spans="1:43" s="2" customFormat="1" ht="24" customHeight="1" thickBot="1" x14ac:dyDescent="0.3">
      <c r="A200" s="19" t="s">
        <v>1</v>
      </c>
      <c r="B200" s="975" t="s">
        <v>2</v>
      </c>
      <c r="C200" s="976"/>
      <c r="D200" s="976"/>
      <c r="E200" s="976"/>
      <c r="F200" s="976"/>
      <c r="G200" s="977"/>
      <c r="H200" s="975" t="s">
        <v>3</v>
      </c>
      <c r="I200" s="976"/>
      <c r="J200" s="976"/>
      <c r="K200" s="976"/>
      <c r="L200" s="976"/>
      <c r="M200" s="977"/>
      <c r="N200" s="975" t="s">
        <v>135</v>
      </c>
      <c r="O200" s="976"/>
      <c r="P200" s="976"/>
      <c r="Q200" s="976"/>
      <c r="R200" s="976"/>
      <c r="S200" s="977"/>
      <c r="T200" s="975" t="s">
        <v>4</v>
      </c>
      <c r="U200" s="976"/>
      <c r="V200" s="976"/>
      <c r="W200" s="976"/>
      <c r="X200" s="976"/>
      <c r="Y200" s="977"/>
      <c r="Z200" s="975" t="s">
        <v>5</v>
      </c>
      <c r="AA200" s="976"/>
      <c r="AB200" s="976"/>
      <c r="AC200" s="976"/>
      <c r="AD200" s="976"/>
      <c r="AE200" s="977"/>
    </row>
    <row r="201" spans="1:43" ht="27" customHeight="1" x14ac:dyDescent="0.3">
      <c r="A201" s="1375" t="s">
        <v>1091</v>
      </c>
      <c r="B201" s="1537" t="s">
        <v>85</v>
      </c>
      <c r="C201" s="1538"/>
      <c r="D201" s="1538"/>
      <c r="E201" s="1538"/>
      <c r="F201" s="1538"/>
      <c r="G201" s="1539"/>
      <c r="H201" s="1629" t="s">
        <v>85</v>
      </c>
      <c r="I201" s="938" t="s">
        <v>569</v>
      </c>
      <c r="J201" s="1051" t="s">
        <v>1255</v>
      </c>
      <c r="K201" s="753"/>
      <c r="L201" s="753"/>
      <c r="M201" s="754"/>
      <c r="N201" s="1398" t="s">
        <v>349</v>
      </c>
      <c r="O201" s="938" t="s">
        <v>569</v>
      </c>
      <c r="P201" s="1051"/>
      <c r="Q201" s="1559"/>
      <c r="R201" s="1165"/>
      <c r="S201" s="1356"/>
      <c r="T201" s="1075" t="s">
        <v>84</v>
      </c>
      <c r="U201" s="938" t="s">
        <v>569</v>
      </c>
      <c r="V201" s="1182" t="s">
        <v>528</v>
      </c>
      <c r="W201" s="1627"/>
      <c r="X201" s="1630"/>
      <c r="Y201" s="1605"/>
      <c r="Z201" s="1398" t="s">
        <v>809</v>
      </c>
      <c r="AA201" s="938" t="s">
        <v>569</v>
      </c>
      <c r="AB201" s="1334"/>
      <c r="AC201" s="968"/>
      <c r="AD201" s="1166"/>
      <c r="AE201" s="1168"/>
    </row>
    <row r="202" spans="1:43" ht="21.75" customHeight="1" x14ac:dyDescent="0.25">
      <c r="A202" s="1105"/>
      <c r="B202" s="1588" t="s">
        <v>156</v>
      </c>
      <c r="C202" s="1589"/>
      <c r="D202" s="1589"/>
      <c r="E202" s="1589"/>
      <c r="F202" s="1589"/>
      <c r="G202" s="1590"/>
      <c r="H202" s="1398"/>
      <c r="I202" s="938"/>
      <c r="J202" s="1051"/>
      <c r="K202" s="755"/>
      <c r="L202" s="755"/>
      <c r="M202" s="756"/>
      <c r="N202" s="1398"/>
      <c r="O202" s="938"/>
      <c r="P202" s="1051"/>
      <c r="Q202" s="1560"/>
      <c r="R202" s="1166"/>
      <c r="S202" s="1357"/>
      <c r="T202" s="1075"/>
      <c r="U202" s="938"/>
      <c r="V202" s="1182"/>
      <c r="W202" s="1627"/>
      <c r="X202" s="1630"/>
      <c r="Y202" s="1605"/>
      <c r="Z202" s="1398"/>
      <c r="AA202" s="938"/>
      <c r="AB202" s="1334"/>
      <c r="AC202" s="968"/>
      <c r="AD202" s="1166"/>
      <c r="AE202" s="1168"/>
    </row>
    <row r="203" spans="1:43" ht="27" customHeight="1" x14ac:dyDescent="0.3">
      <c r="A203" s="1100" t="s">
        <v>183</v>
      </c>
      <c r="B203" s="1641" t="s">
        <v>85</v>
      </c>
      <c r="C203" s="1642"/>
      <c r="D203" s="1642"/>
      <c r="E203" s="1642"/>
      <c r="F203" s="1642"/>
      <c r="G203" s="1643"/>
      <c r="H203" s="1398"/>
      <c r="I203" s="938"/>
      <c r="J203" s="1051"/>
      <c r="K203" s="753"/>
      <c r="L203" s="753"/>
      <c r="M203" s="754"/>
      <c r="N203" s="1398"/>
      <c r="O203" s="938"/>
      <c r="P203" s="1051"/>
      <c r="Q203" s="1560"/>
      <c r="R203" s="1166"/>
      <c r="S203" s="1357"/>
      <c r="T203" s="1075"/>
      <c r="U203" s="938"/>
      <c r="V203" s="1182"/>
      <c r="W203" s="1627"/>
      <c r="X203" s="1630"/>
      <c r="Y203" s="1605"/>
      <c r="Z203" s="1398"/>
      <c r="AA203" s="938"/>
      <c r="AB203" s="1334"/>
      <c r="AC203" s="968"/>
      <c r="AD203" s="1166"/>
      <c r="AE203" s="1168"/>
    </row>
    <row r="204" spans="1:43" ht="21.75" customHeight="1" x14ac:dyDescent="0.25">
      <c r="A204" s="1105"/>
      <c r="B204" s="1588" t="s">
        <v>156</v>
      </c>
      <c r="C204" s="1589"/>
      <c r="D204" s="1589"/>
      <c r="E204" s="1589"/>
      <c r="F204" s="1589"/>
      <c r="G204" s="1590"/>
      <c r="H204" s="1399"/>
      <c r="I204" s="938"/>
      <c r="J204" s="1051"/>
      <c r="K204" s="755"/>
      <c r="L204" s="755"/>
      <c r="M204" s="756"/>
      <c r="N204" s="1398"/>
      <c r="O204" s="938"/>
      <c r="P204" s="1052"/>
      <c r="Q204" s="1560"/>
      <c r="R204" s="1166"/>
      <c r="S204" s="1357"/>
      <c r="T204" s="1075"/>
      <c r="U204" s="938"/>
      <c r="V204" s="1182"/>
      <c r="W204" s="1628"/>
      <c r="X204" s="1631"/>
      <c r="Y204" s="1606"/>
      <c r="Z204" s="1398"/>
      <c r="AA204" s="938"/>
      <c r="AB204" s="1334"/>
      <c r="AC204" s="968"/>
      <c r="AD204" s="1166"/>
      <c r="AE204" s="1379"/>
    </row>
    <row r="205" spans="1:43" ht="27" customHeight="1" x14ac:dyDescent="0.3">
      <c r="A205" s="1321" t="s">
        <v>182</v>
      </c>
      <c r="B205" s="963" t="s">
        <v>84</v>
      </c>
      <c r="C205" s="957"/>
      <c r="D205" s="957"/>
      <c r="E205" s="957"/>
      <c r="F205" s="957"/>
      <c r="G205" s="958"/>
      <c r="H205" s="1532" t="s">
        <v>116</v>
      </c>
      <c r="I205" s="1223" t="s">
        <v>569</v>
      </c>
      <c r="J205" s="1324" t="s">
        <v>162</v>
      </c>
      <c r="K205" s="1559"/>
      <c r="L205" s="1165"/>
      <c r="M205" s="1356"/>
      <c r="N205" s="1062"/>
      <c r="O205" s="1020"/>
      <c r="P205" s="1020"/>
      <c r="Q205" s="1020"/>
      <c r="R205" s="1020"/>
      <c r="S205" s="1063"/>
      <c r="T205" s="1075"/>
      <c r="U205" s="938"/>
      <c r="V205" s="1182"/>
      <c r="W205" s="193"/>
      <c r="Y205" s="32"/>
      <c r="Z205" s="1062"/>
      <c r="AA205" s="1020"/>
      <c r="AB205" s="1020"/>
      <c r="AC205" s="1020"/>
      <c r="AD205" s="1020"/>
      <c r="AE205" s="1063"/>
      <c r="AH205" s="389"/>
      <c r="AI205" s="389"/>
      <c r="AJ205" s="389"/>
      <c r="AK205" s="389"/>
      <c r="AL205" s="389"/>
      <c r="AM205" s="389"/>
    </row>
    <row r="206" spans="1:43" ht="21.75" customHeight="1" x14ac:dyDescent="0.25">
      <c r="A206" s="1321"/>
      <c r="B206" s="1581" t="s">
        <v>156</v>
      </c>
      <c r="C206" s="1582"/>
      <c r="D206" s="1582"/>
      <c r="E206" s="1582"/>
      <c r="F206" s="1582"/>
      <c r="G206" s="1583"/>
      <c r="H206" s="1398"/>
      <c r="I206" s="938"/>
      <c r="J206" s="1051"/>
      <c r="K206" s="1560"/>
      <c r="L206" s="1166"/>
      <c r="M206" s="1357"/>
      <c r="N206" s="1585"/>
      <c r="O206" s="1586"/>
      <c r="P206" s="1586"/>
      <c r="Q206" s="1586"/>
      <c r="R206" s="1586"/>
      <c r="S206" s="1587"/>
      <c r="T206" s="1265"/>
      <c r="U206" s="1053"/>
      <c r="V206" s="1425"/>
      <c r="W206" s="102"/>
      <c r="X206" s="102"/>
      <c r="Y206" s="103"/>
      <c r="Z206" s="1069"/>
      <c r="AA206" s="1070"/>
      <c r="AB206" s="1070"/>
      <c r="AC206" s="1070"/>
      <c r="AD206" s="1070"/>
      <c r="AE206" s="1071"/>
      <c r="AL206" s="1601"/>
      <c r="AM206" s="1602"/>
      <c r="AN206" s="1602"/>
      <c r="AO206" s="1602"/>
      <c r="AP206" s="1602"/>
      <c r="AQ206" s="1603"/>
    </row>
    <row r="207" spans="1:43" ht="27" customHeight="1" x14ac:dyDescent="0.3">
      <c r="A207" s="1105" t="s">
        <v>184</v>
      </c>
      <c r="B207" s="1532" t="s">
        <v>511</v>
      </c>
      <c r="C207" s="1223" t="s">
        <v>569</v>
      </c>
      <c r="D207" s="1324" t="s">
        <v>567</v>
      </c>
      <c r="E207" s="423"/>
      <c r="F207" s="423"/>
      <c r="G207" s="796"/>
      <c r="H207" s="1398"/>
      <c r="I207" s="938"/>
      <c r="J207" s="1051"/>
      <c r="K207" s="1560"/>
      <c r="L207" s="1166"/>
      <c r="M207" s="1357"/>
      <c r="N207" s="1062"/>
      <c r="O207" s="1020"/>
      <c r="P207" s="1020"/>
      <c r="Q207" s="1020"/>
      <c r="R207" s="1020"/>
      <c r="S207" s="1063"/>
      <c r="T207" s="1062"/>
      <c r="U207" s="1020"/>
      <c r="V207" s="1020"/>
      <c r="W207" s="1020"/>
      <c r="X207" s="1020"/>
      <c r="Y207" s="1063"/>
      <c r="Z207" s="1062"/>
      <c r="AA207" s="1020"/>
      <c r="AB207" s="1020"/>
      <c r="AC207" s="1020"/>
      <c r="AD207" s="1020"/>
      <c r="AE207" s="1063"/>
    </row>
    <row r="208" spans="1:43" ht="21.75" customHeight="1" x14ac:dyDescent="0.25">
      <c r="A208" s="1321"/>
      <c r="B208" s="1398"/>
      <c r="C208" s="938"/>
      <c r="D208" s="1334"/>
      <c r="E208" s="656"/>
      <c r="F208" s="10"/>
      <c r="G208" s="10"/>
      <c r="H208" s="1398"/>
      <c r="I208" s="1053"/>
      <c r="J208" s="1052"/>
      <c r="K208" s="1560"/>
      <c r="L208" s="1166"/>
      <c r="M208" s="1357"/>
      <c r="N208" s="1585"/>
      <c r="O208" s="1586"/>
      <c r="P208" s="1586"/>
      <c r="Q208" s="1586"/>
      <c r="R208" s="1586"/>
      <c r="S208" s="1587"/>
      <c r="T208" s="1069"/>
      <c r="U208" s="1070"/>
      <c r="V208" s="1070"/>
      <c r="W208" s="1070"/>
      <c r="X208" s="1070"/>
      <c r="Y208" s="1071"/>
      <c r="Z208" s="1069"/>
      <c r="AA208" s="1070"/>
      <c r="AB208" s="1070"/>
      <c r="AC208" s="1070"/>
      <c r="AD208" s="1070"/>
      <c r="AE208" s="1071"/>
      <c r="AH208" s="20"/>
      <c r="AI208" s="1151"/>
      <c r="AJ208" s="938"/>
      <c r="AK208" s="1591"/>
    </row>
    <row r="209" spans="1:37" ht="27" customHeight="1" x14ac:dyDescent="0.3">
      <c r="A209" s="1105" t="s">
        <v>185</v>
      </c>
      <c r="B209" s="1398"/>
      <c r="C209" s="938"/>
      <c r="D209" s="1051"/>
      <c r="E209" s="84"/>
      <c r="F209" s="84"/>
      <c r="G209" s="796"/>
      <c r="H209" s="963" t="s">
        <v>511</v>
      </c>
      <c r="I209" s="957"/>
      <c r="J209" s="957"/>
      <c r="K209" s="957"/>
      <c r="L209" s="957"/>
      <c r="M209" s="958"/>
      <c r="N209" s="963" t="s">
        <v>116</v>
      </c>
      <c r="O209" s="957"/>
      <c r="P209" s="957"/>
      <c r="Q209" s="957"/>
      <c r="R209" s="957"/>
      <c r="S209" s="958"/>
      <c r="T209" s="986" t="s">
        <v>751</v>
      </c>
      <c r="U209" s="987"/>
      <c r="V209" s="987"/>
      <c r="W209" s="987"/>
      <c r="X209" s="987"/>
      <c r="Y209" s="675" t="s">
        <v>569</v>
      </c>
      <c r="Z209" s="963" t="s">
        <v>751</v>
      </c>
      <c r="AA209" s="957"/>
      <c r="AB209" s="957"/>
      <c r="AC209" s="957"/>
      <c r="AD209" s="957"/>
      <c r="AE209" s="958"/>
      <c r="AF209" s="33"/>
      <c r="AI209" s="1151"/>
      <c r="AJ209" s="938"/>
      <c r="AK209" s="1591"/>
    </row>
    <row r="210" spans="1:37" ht="21.75" customHeight="1" x14ac:dyDescent="0.25">
      <c r="A210" s="1321"/>
      <c r="B210" s="1398"/>
      <c r="C210" s="1053"/>
      <c r="D210" s="1052"/>
      <c r="E210" s="797"/>
      <c r="F210" s="797"/>
      <c r="G210" s="798"/>
      <c r="H210" s="1581" t="s">
        <v>156</v>
      </c>
      <c r="I210" s="1582"/>
      <c r="J210" s="1582"/>
      <c r="K210" s="1582"/>
      <c r="L210" s="1582"/>
      <c r="M210" s="1583"/>
      <c r="N210" s="1581" t="s">
        <v>156</v>
      </c>
      <c r="O210" s="1582"/>
      <c r="P210" s="1582"/>
      <c r="Q210" s="1582"/>
      <c r="R210" s="1582"/>
      <c r="S210" s="1583"/>
      <c r="T210" s="1601"/>
      <c r="U210" s="1602"/>
      <c r="V210" s="1602"/>
      <c r="W210" s="1602"/>
      <c r="X210" s="1602"/>
      <c r="Y210" s="1603"/>
      <c r="Z210" s="1581"/>
      <c r="AA210" s="1582"/>
      <c r="AB210" s="1582"/>
      <c r="AC210" s="1582"/>
      <c r="AD210" s="1582"/>
      <c r="AE210" s="1583"/>
      <c r="AF210" s="33"/>
      <c r="AI210" s="1151"/>
      <c r="AJ210" s="938"/>
      <c r="AK210" s="1591"/>
    </row>
    <row r="211" spans="1:37" ht="27" customHeight="1" x14ac:dyDescent="0.3">
      <c r="A211" s="1486" t="s">
        <v>186</v>
      </c>
      <c r="B211" s="1584"/>
      <c r="C211" s="1546"/>
      <c r="D211" s="1546"/>
      <c r="E211" s="1546"/>
      <c r="F211" s="1546"/>
      <c r="G211" s="1547"/>
      <c r="H211" s="963" t="s">
        <v>511</v>
      </c>
      <c r="I211" s="957"/>
      <c r="J211" s="957"/>
      <c r="K211" s="957"/>
      <c r="L211" s="957"/>
      <c r="M211" s="958"/>
      <c r="N211" s="1038" t="s">
        <v>116</v>
      </c>
      <c r="O211" s="1039"/>
      <c r="P211" s="1039"/>
      <c r="Q211" s="1039"/>
      <c r="R211" s="1039"/>
      <c r="S211" s="1040"/>
      <c r="T211" s="986" t="s">
        <v>751</v>
      </c>
      <c r="U211" s="987"/>
      <c r="V211" s="987"/>
      <c r="W211" s="987"/>
      <c r="X211" s="987"/>
      <c r="Y211" s="675" t="s">
        <v>569</v>
      </c>
      <c r="Z211" s="1038" t="s">
        <v>751</v>
      </c>
      <c r="AA211" s="1039"/>
      <c r="AB211" s="1039"/>
      <c r="AC211" s="1039"/>
      <c r="AD211" s="1039"/>
      <c r="AE211" s="1040"/>
      <c r="AF211" s="33"/>
      <c r="AI211" s="1151"/>
      <c r="AJ211" s="938"/>
      <c r="AK211" s="1591"/>
    </row>
    <row r="212" spans="1:37" ht="21.75" customHeight="1" thickBot="1" x14ac:dyDescent="0.3">
      <c r="A212" s="1483"/>
      <c r="B212" s="1220"/>
      <c r="C212" s="1221"/>
      <c r="D212" s="1221"/>
      <c r="E212" s="1221"/>
      <c r="F212" s="1221"/>
      <c r="G212" s="1222"/>
      <c r="H212" s="1581" t="s">
        <v>156</v>
      </c>
      <c r="I212" s="1582"/>
      <c r="J212" s="1582"/>
      <c r="K212" s="1582"/>
      <c r="L212" s="1582"/>
      <c r="M212" s="1583"/>
      <c r="N212" s="1581" t="s">
        <v>156</v>
      </c>
      <c r="O212" s="1582"/>
      <c r="P212" s="1582"/>
      <c r="Q212" s="1582"/>
      <c r="R212" s="1582"/>
      <c r="S212" s="1583"/>
      <c r="T212" s="1601"/>
      <c r="U212" s="1602"/>
      <c r="V212" s="1602"/>
      <c r="W212" s="1602"/>
      <c r="X212" s="1602"/>
      <c r="Y212" s="1603"/>
      <c r="Z212" s="1598"/>
      <c r="AA212" s="1599"/>
      <c r="AB212" s="1599"/>
      <c r="AC212" s="1599"/>
      <c r="AD212" s="1599"/>
      <c r="AE212" s="1600"/>
      <c r="AF212" s="33"/>
    </row>
    <row r="213" spans="1:37" ht="27" customHeight="1" x14ac:dyDescent="0.25">
      <c r="A213" s="438"/>
      <c r="B213" s="1579"/>
      <c r="C213" s="1579"/>
      <c r="D213" s="1579"/>
      <c r="E213" s="1579"/>
      <c r="F213" s="1579"/>
      <c r="G213" s="1579"/>
      <c r="H213" s="1579"/>
      <c r="I213" s="1579"/>
      <c r="J213" s="1579"/>
      <c r="K213" s="1579"/>
      <c r="L213" s="1579"/>
      <c r="M213" s="1579"/>
      <c r="N213" s="1579"/>
      <c r="O213" s="1579"/>
      <c r="P213" s="1579"/>
      <c r="Q213" s="1579"/>
      <c r="R213" s="1579"/>
      <c r="S213" s="1579"/>
      <c r="T213" s="1579"/>
      <c r="U213" s="1579"/>
      <c r="V213" s="1579"/>
      <c r="W213" s="1579"/>
      <c r="X213" s="1579"/>
      <c r="Y213" s="1579"/>
      <c r="Z213" s="86"/>
      <c r="AA213" s="86"/>
      <c r="AB213" s="86"/>
      <c r="AC213" s="86"/>
      <c r="AD213" s="86"/>
      <c r="AE213" s="86"/>
    </row>
    <row r="214" spans="1:37" ht="26.25" customHeight="1" thickBot="1" x14ac:dyDescent="0.3"/>
    <row r="215" spans="1:37" ht="18.75" customHeight="1" x14ac:dyDescent="0.25">
      <c r="A215" s="1684" t="s">
        <v>214</v>
      </c>
      <c r="B215" s="1580"/>
      <c r="C215" s="1580" t="s">
        <v>215</v>
      </c>
      <c r="D215" s="1580"/>
      <c r="E215" s="1580"/>
      <c r="F215" s="1580"/>
      <c r="G215" s="1580"/>
      <c r="H215" s="1580"/>
      <c r="I215" s="1580"/>
      <c r="J215" s="1580"/>
      <c r="K215" s="1580"/>
      <c r="L215" s="91"/>
      <c r="M215" s="1683" t="s">
        <v>306</v>
      </c>
      <c r="N215" s="1683"/>
      <c r="O215" s="1580" t="s">
        <v>139</v>
      </c>
      <c r="P215" s="1580"/>
      <c r="Q215" s="1580" t="s">
        <v>163</v>
      </c>
      <c r="R215" s="1580"/>
      <c r="S215" s="1580"/>
      <c r="T215" s="1580"/>
      <c r="U215" s="1580"/>
      <c r="V215" s="1580"/>
      <c r="W215" s="1580"/>
      <c r="X215" s="1580"/>
      <c r="Y215" s="1580"/>
      <c r="Z215" s="1580"/>
      <c r="AA215" s="1580"/>
      <c r="AB215" s="1580"/>
      <c r="AC215" s="1580"/>
      <c r="AD215" s="1580"/>
      <c r="AE215" s="1604"/>
    </row>
    <row r="216" spans="1:37" ht="13.8" x14ac:dyDescent="0.25">
      <c r="A216" s="1188" t="str">
        <f>VLOOKUP(M216,ASIGNATURAS!$F$1:$L$1022, 3, FALSE)</f>
        <v>INFIND</v>
      </c>
      <c r="B216" s="1203"/>
      <c r="C216" s="982" t="str">
        <f>VLOOKUP(M216,ASIGNATURAS!$F$1:$L$1022, 4, FALSE)</f>
        <v>Informática Industrial</v>
      </c>
      <c r="D216" s="982"/>
      <c r="E216" s="982"/>
      <c r="F216" s="982"/>
      <c r="G216" s="982"/>
      <c r="H216" s="982"/>
      <c r="I216" s="982"/>
      <c r="J216" s="982"/>
      <c r="K216" s="982"/>
      <c r="L216" s="982"/>
      <c r="M216" s="1205">
        <v>6422</v>
      </c>
      <c r="N216" s="1205"/>
      <c r="O216" s="1205">
        <f>VLOOKUP(M216,ASIGNATURAS!$F$1:$L$1022, 5, FALSE)</f>
        <v>6</v>
      </c>
      <c r="P216" s="1205"/>
      <c r="Q216" s="982" t="str">
        <f>VLOOKUP(M216,ASIGNATURAS!$F$1:$L$1022, 6, FALSE)</f>
        <v>José Luis Jabato</v>
      </c>
      <c r="R216" s="982"/>
      <c r="S216" s="982"/>
      <c r="T216" s="982"/>
      <c r="U216" s="982"/>
      <c r="V216" s="982"/>
      <c r="W216" s="982"/>
      <c r="X216" s="982"/>
      <c r="Y216" s="982"/>
      <c r="Z216" s="982"/>
      <c r="AA216" s="982"/>
      <c r="AB216" s="982"/>
      <c r="AC216" s="982"/>
      <c r="AD216" s="982"/>
      <c r="AE216" s="983"/>
    </row>
    <row r="217" spans="1:37" ht="13.8" x14ac:dyDescent="0.25">
      <c r="A217" s="1188" t="str">
        <f>VLOOKUP(M217,ASIGNATURAS!$F$1:$L$1022, 3, FALSE)</f>
        <v>OFICINA</v>
      </c>
      <c r="B217" s="1203"/>
      <c r="C217" s="982" t="str">
        <f>VLOOKUP(M217,ASIGNATURAS!$F$1:$L$1022, 4, FALSE)</f>
        <v>Oficina Técnica</v>
      </c>
      <c r="D217" s="982"/>
      <c r="E217" s="982"/>
      <c r="F217" s="982"/>
      <c r="G217" s="982"/>
      <c r="H217" s="982"/>
      <c r="I217" s="982"/>
      <c r="J217" s="982"/>
      <c r="K217" s="982"/>
      <c r="L217" s="982"/>
      <c r="M217" s="1205">
        <v>6423</v>
      </c>
      <c r="N217" s="1205"/>
      <c r="O217" s="1205">
        <f>VLOOKUP(M217,ASIGNATURAS!$F$1:$L$1022, 5, FALSE)</f>
        <v>6</v>
      </c>
      <c r="P217" s="1205"/>
      <c r="Q217" s="982" t="str">
        <f>VLOOKUP(M217,ASIGNATURAS!$F$1:$L$1022, 6, FALSE)</f>
        <v xml:space="preserve">Raúl Zamora </v>
      </c>
      <c r="R217" s="982"/>
      <c r="S217" s="982"/>
      <c r="T217" s="982"/>
      <c r="U217" s="982"/>
      <c r="V217" s="982"/>
      <c r="W217" s="982"/>
      <c r="X217" s="982"/>
      <c r="Y217" s="982"/>
      <c r="Z217" s="982"/>
      <c r="AA217" s="982"/>
      <c r="AB217" s="982"/>
      <c r="AC217" s="982"/>
      <c r="AD217" s="982"/>
      <c r="AE217" s="983"/>
    </row>
    <row r="218" spans="1:37" ht="13.8" x14ac:dyDescent="0.25">
      <c r="A218" s="1188" t="str">
        <f>VLOOKUP(M218,ASIGNATURAS!$F$1:$L$1022, 3, FALSE)</f>
        <v>ELECTRON. IND.</v>
      </c>
      <c r="B218" s="1203"/>
      <c r="C218" s="982" t="str">
        <f>VLOOKUP(M218,ASIGNATURAS!$F$1:$L$1022, 4, FALSE)</f>
        <v>Aplicación de la Electrónica Industrial</v>
      </c>
      <c r="D218" s="982"/>
      <c r="E218" s="982"/>
      <c r="F218" s="982"/>
      <c r="G218" s="982"/>
      <c r="H218" s="982"/>
      <c r="I218" s="982"/>
      <c r="J218" s="982"/>
      <c r="K218" s="982"/>
      <c r="L218" s="982"/>
      <c r="M218" s="1205">
        <v>6424</v>
      </c>
      <c r="N218" s="1205"/>
      <c r="O218" s="1205" t="str">
        <f>VLOOKUP(M218,ASIGNATURAS!$F$1:$L$1022, 5, FALSE)</f>
        <v>6 (OP)</v>
      </c>
      <c r="P218" s="1205"/>
      <c r="Q218" s="982" t="str">
        <f>VLOOKUP(M218,ASIGNATURAS!$F$1:$L$1022, 6, FALSE)</f>
        <v>Miguel Angel Lozano Pérez</v>
      </c>
      <c r="R218" s="982"/>
      <c r="S218" s="982"/>
      <c r="T218" s="982"/>
      <c r="U218" s="982"/>
      <c r="V218" s="982"/>
      <c r="W218" s="982"/>
      <c r="X218" s="982"/>
      <c r="Y218" s="982"/>
      <c r="Z218" s="982"/>
      <c r="AA218" s="982"/>
      <c r="AB218" s="982"/>
      <c r="AC218" s="982"/>
      <c r="AD218" s="982"/>
      <c r="AE218" s="983"/>
      <c r="AG218" s="20"/>
    </row>
    <row r="219" spans="1:37" ht="13.8" x14ac:dyDescent="0.25">
      <c r="A219" s="1188" t="str">
        <f>VLOOKUP(M219,ASIGNATURAS!$F$1:$L$1022, 3, FALSE)</f>
        <v>INST SOLARES</v>
      </c>
      <c r="B219" s="1203"/>
      <c r="C219" s="982" t="str">
        <f>VLOOKUP(M219,ASIGNATURAS!$F$1:$L$1022, 4, FALSE)</f>
        <v>Automatización de instalaciones solares y eólicas</v>
      </c>
      <c r="D219" s="982"/>
      <c r="E219" s="982"/>
      <c r="F219" s="982"/>
      <c r="G219" s="982"/>
      <c r="H219" s="982"/>
      <c r="I219" s="982"/>
      <c r="J219" s="982"/>
      <c r="K219" s="982"/>
      <c r="L219" s="982"/>
      <c r="M219" s="1205">
        <v>6425</v>
      </c>
      <c r="N219" s="1205"/>
      <c r="O219" s="1205" t="str">
        <f>VLOOKUP(M219,ASIGNATURAS!$F$1:$L$1022, 5, FALSE)</f>
        <v>6 (OP)</v>
      </c>
      <c r="P219" s="1205"/>
      <c r="Q219" s="982" t="str">
        <f>VLOOKUP(M219,ASIGNATURAS!$F$1:$L$1022, 6, FALSE)</f>
        <v/>
      </c>
      <c r="R219" s="982"/>
      <c r="S219" s="982"/>
      <c r="T219" s="982"/>
      <c r="U219" s="982"/>
      <c r="V219" s="982"/>
      <c r="W219" s="982"/>
      <c r="X219" s="982"/>
      <c r="Y219" s="982"/>
      <c r="Z219" s="982"/>
      <c r="AA219" s="982"/>
      <c r="AB219" s="982"/>
      <c r="AC219" s="982"/>
      <c r="AD219" s="982"/>
      <c r="AE219" s="983"/>
    </row>
    <row r="220" spans="1:37" ht="13.8" x14ac:dyDescent="0.25">
      <c r="A220" s="1188" t="str">
        <f>VLOOKUP(M220,ASIGNATURAS!$F$1:$L$1022, 3, FALSE)</f>
        <v>RENOVABLES</v>
      </c>
      <c r="B220" s="1203"/>
      <c r="C220" s="982" t="str">
        <f>VLOOKUP(M220,ASIGNATURAS!$F$1:$L$1022, 4, FALSE)</f>
        <v>Energías Renovables</v>
      </c>
      <c r="D220" s="982"/>
      <c r="E220" s="982"/>
      <c r="F220" s="982"/>
      <c r="G220" s="982"/>
      <c r="H220" s="982"/>
      <c r="I220" s="982"/>
      <c r="J220" s="982"/>
      <c r="K220" s="982"/>
      <c r="L220" s="982"/>
      <c r="M220" s="1205">
        <v>6426</v>
      </c>
      <c r="N220" s="1205"/>
      <c r="O220" s="1205" t="str">
        <f>VLOOKUP(M220,ASIGNATURAS!$F$1:$L$1022, 5, FALSE)</f>
        <v>6 (OP)</v>
      </c>
      <c r="P220" s="1205"/>
      <c r="Q220" s="982" t="str">
        <f>VLOOKUP(M220,ASIGNATURAS!$F$1:$L$1022, 6, FALSE)</f>
        <v>Manuel Iván González Martín</v>
      </c>
      <c r="R220" s="982"/>
      <c r="S220" s="982"/>
      <c r="T220" s="982"/>
      <c r="U220" s="982"/>
      <c r="V220" s="982"/>
      <c r="W220" s="982"/>
      <c r="X220" s="982"/>
      <c r="Y220" s="982"/>
      <c r="Z220" s="982"/>
      <c r="AA220" s="982"/>
      <c r="AB220" s="982"/>
      <c r="AC220" s="982"/>
      <c r="AD220" s="982"/>
      <c r="AE220" s="983"/>
    </row>
    <row r="221" spans="1:37" ht="13.8" x14ac:dyDescent="0.25">
      <c r="A221" s="1188" t="str">
        <f>VLOOKUP(M221,ASIGNATURAS!$F$1:$L$1022, 3, FALSE)</f>
        <v>PREV. RIESGOS</v>
      </c>
      <c r="B221" s="1203"/>
      <c r="C221" s="982" t="str">
        <f>VLOOKUP(M221,ASIGNATURAS!$F$1:$L$1022, 4, FALSE)</f>
        <v>Seguridad y Prevención de Riesgos</v>
      </c>
      <c r="D221" s="982"/>
      <c r="E221" s="982"/>
      <c r="F221" s="982"/>
      <c r="G221" s="982"/>
      <c r="H221" s="982"/>
      <c r="I221" s="982"/>
      <c r="J221" s="982"/>
      <c r="K221" s="982"/>
      <c r="L221" s="982"/>
      <c r="M221" s="1205">
        <v>6427</v>
      </c>
      <c r="N221" s="1205"/>
      <c r="O221" s="1205" t="str">
        <f>VLOOKUP(M221,ASIGNATURAS!$F$1:$L$1022, 5, FALSE)</f>
        <v>6 (OP)</v>
      </c>
      <c r="P221" s="1205"/>
      <c r="Q221" s="982" t="str">
        <f>VLOOKUP(M221,ASIGNATURAS!$F$1:$L$1022, 6, FALSE)</f>
        <v/>
      </c>
      <c r="R221" s="982"/>
      <c r="S221" s="982"/>
      <c r="T221" s="982"/>
      <c r="U221" s="982"/>
      <c r="V221" s="982"/>
      <c r="W221" s="982"/>
      <c r="X221" s="982"/>
      <c r="Y221" s="982"/>
      <c r="Z221" s="982"/>
      <c r="AA221" s="982"/>
      <c r="AB221" s="982"/>
      <c r="AC221" s="982"/>
      <c r="AD221" s="982"/>
      <c r="AE221" s="983"/>
      <c r="AG221" s="20"/>
    </row>
    <row r="222" spans="1:37" ht="13.8" x14ac:dyDescent="0.25">
      <c r="A222" s="1188" t="str">
        <f>VLOOKUP(M222,ASIGNATURAS!$F$1:$L$1022, 3, FALSE)</f>
        <v>INTEG S.E.</v>
      </c>
      <c r="B222" s="1203"/>
      <c r="C222" s="982" t="str">
        <f>VLOOKUP(M222,ASIGNATURAS!$F$1:$L$1022, 4, FALSE)</f>
        <v>Integración de los Sist. Electron.</v>
      </c>
      <c r="D222" s="982"/>
      <c r="E222" s="982"/>
      <c r="F222" s="982"/>
      <c r="G222" s="982"/>
      <c r="H222" s="982"/>
      <c r="I222" s="982"/>
      <c r="J222" s="982"/>
      <c r="K222" s="982"/>
      <c r="L222" s="982"/>
      <c r="M222" s="1205">
        <v>6428</v>
      </c>
      <c r="N222" s="1205"/>
      <c r="O222" s="1205" t="str">
        <f>VLOOKUP(M222,ASIGNATURAS!$F$1:$L$1022, 5, FALSE)</f>
        <v>6 (OP)</v>
      </c>
      <c r="P222" s="1205"/>
      <c r="Q222" s="982" t="str">
        <f>VLOOKUP(M222,ASIGNATURAS!$F$1:$L$1022, 6, FALSE)</f>
        <v>Miguel Angel Lozano Pérez</v>
      </c>
      <c r="R222" s="982"/>
      <c r="S222" s="982"/>
      <c r="T222" s="982"/>
      <c r="U222" s="982"/>
      <c r="V222" s="982"/>
      <c r="W222" s="982"/>
      <c r="X222" s="982"/>
      <c r="Y222" s="982"/>
      <c r="Z222" s="982"/>
      <c r="AA222" s="982"/>
      <c r="AB222" s="982"/>
      <c r="AC222" s="982"/>
      <c r="AD222" s="982"/>
      <c r="AE222" s="983"/>
    </row>
    <row r="223" spans="1:37" ht="13.8" x14ac:dyDescent="0.25">
      <c r="A223" s="1188" t="str">
        <f>VLOOKUP(M223,ASIGNATURAS!$F$1:$L$1022, 3, FALSE)</f>
        <v>INSTAL. ELEC.</v>
      </c>
      <c r="B223" s="1203"/>
      <c r="C223" s="982" t="str">
        <f>VLOOKUP(M223,ASIGNATURAS!$F$1:$L$1022, 4, FALSE)</f>
        <v>Instalaciones Eléctricas</v>
      </c>
      <c r="D223" s="982"/>
      <c r="E223" s="982"/>
      <c r="F223" s="982"/>
      <c r="G223" s="982"/>
      <c r="H223" s="982"/>
      <c r="I223" s="982"/>
      <c r="J223" s="982"/>
      <c r="K223" s="982"/>
      <c r="L223" s="982"/>
      <c r="M223" s="1205">
        <v>6429</v>
      </c>
      <c r="N223" s="1205"/>
      <c r="O223" s="1205" t="str">
        <f>VLOOKUP(M223,ASIGNATURAS!$F$1:$L$1022, 5, FALSE)</f>
        <v>6 (OP)</v>
      </c>
      <c r="P223" s="1205"/>
      <c r="Q223" s="982" t="str">
        <f>VLOOKUP(M223,ASIGNATURAS!$F$1:$L$1022, 6, FALSE)</f>
        <v>Vanesa Fernández Cavero</v>
      </c>
      <c r="R223" s="982"/>
      <c r="S223" s="982"/>
      <c r="T223" s="982"/>
      <c r="U223" s="982"/>
      <c r="V223" s="982"/>
      <c r="W223" s="982"/>
      <c r="X223" s="982"/>
      <c r="Y223" s="982"/>
      <c r="Z223" s="982"/>
      <c r="AA223" s="982"/>
      <c r="AB223" s="982"/>
      <c r="AC223" s="982"/>
      <c r="AD223" s="982"/>
      <c r="AE223" s="983"/>
    </row>
    <row r="224" spans="1:37" ht="14.4" thickBot="1" x14ac:dyDescent="0.3">
      <c r="A224" s="1201" t="str">
        <f>VLOOKUP(M224,ASIGNATURAS!$F$1:$L$1022, 3, FALSE)</f>
        <v>DAO</v>
      </c>
      <c r="B224" s="1202"/>
      <c r="C224" s="1023" t="str">
        <f>VLOOKUP(M224,ASIGNATURAS!$F$1:$L$1022, 4, FALSE)</f>
        <v>Diseño Asistido por Ordenador</v>
      </c>
      <c r="D224" s="1023"/>
      <c r="E224" s="1023"/>
      <c r="F224" s="1023"/>
      <c r="G224" s="1023"/>
      <c r="H224" s="1023"/>
      <c r="I224" s="1023"/>
      <c r="J224" s="1023"/>
      <c r="K224" s="1023"/>
      <c r="L224" s="1023"/>
      <c r="M224" s="1322">
        <v>6430</v>
      </c>
      <c r="N224" s="1322"/>
      <c r="O224" s="1322" t="str">
        <f>VLOOKUP(M224,ASIGNATURAS!$F$1:$L$1022, 5, FALSE)</f>
        <v>6 (OP)</v>
      </c>
      <c r="P224" s="1322"/>
      <c r="Q224" s="1023" t="str">
        <f>VLOOKUP(M224,ASIGNATURAS!$F$1:$L$1022, 6, FALSE)</f>
        <v>Carlos Melgosa Pedrosa</v>
      </c>
      <c r="R224" s="1023"/>
      <c r="S224" s="1023"/>
      <c r="T224" s="1023"/>
      <c r="U224" s="1023"/>
      <c r="V224" s="1023"/>
      <c r="W224" s="1023"/>
      <c r="X224" s="1023"/>
      <c r="Y224" s="1023"/>
      <c r="Z224" s="1023"/>
      <c r="AA224" s="1023"/>
      <c r="AB224" s="1023"/>
      <c r="AC224" s="1023"/>
      <c r="AD224" s="1023"/>
      <c r="AE224" s="1024"/>
    </row>
    <row r="226" spans="1:32" ht="24" customHeight="1" thickBot="1" x14ac:dyDescent="0.3"/>
    <row r="227" spans="1:32" ht="15.6" thickBot="1" x14ac:dyDescent="0.3">
      <c r="A227" s="1677" t="s">
        <v>1005</v>
      </c>
      <c r="B227" s="1678"/>
      <c r="C227" s="1678"/>
      <c r="D227" s="1678"/>
      <c r="E227" s="1679"/>
      <c r="G227" s="1680" t="s">
        <v>1006</v>
      </c>
      <c r="H227" s="1681"/>
      <c r="I227" s="1681"/>
      <c r="J227" s="1681"/>
      <c r="K227" s="1681"/>
      <c r="L227" s="1681"/>
      <c r="M227" s="1681"/>
      <c r="N227" s="1682"/>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35" t="str">
        <f>VLOOKUP(A233,ASIGNATURAS!$A$2:$D$151, 3, FALSE)</f>
        <v>4º Grado en Ingeniería Electrónica Industrial y Automática</v>
      </c>
      <c r="B230" s="1136"/>
      <c r="C230" s="1136"/>
      <c r="D230" s="1136"/>
      <c r="E230" s="1136"/>
      <c r="F230" s="1136"/>
      <c r="G230" s="1136"/>
      <c r="H230" s="1136"/>
      <c r="I230" s="1136"/>
      <c r="J230" s="1136"/>
      <c r="K230" s="1136"/>
      <c r="L230" s="1136"/>
      <c r="M230" s="1136"/>
      <c r="N230" s="1136"/>
      <c r="O230" s="1136"/>
      <c r="P230" s="1136"/>
      <c r="Q230" s="1136"/>
      <c r="R230" s="1136"/>
      <c r="S230" s="1136"/>
      <c r="T230" s="1136"/>
      <c r="U230" s="1136"/>
      <c r="V230" s="1136"/>
      <c r="W230" s="1136"/>
      <c r="X230" s="1136"/>
      <c r="Y230" s="1137"/>
      <c r="Z230" s="1064" t="str">
        <f>Z189</f>
        <v>Curso 2024-2025</v>
      </c>
      <c r="AA230" s="1065"/>
      <c r="AB230" s="1065"/>
      <c r="AC230" s="1065"/>
      <c r="AD230" s="1065"/>
      <c r="AE230" s="1066"/>
    </row>
    <row r="231" spans="1:32" s="8" customFormat="1" ht="23.25" customHeight="1" thickBot="1" x14ac:dyDescent="0.45">
      <c r="A231" s="1132" t="str">
        <f>VLOOKUP(A233,ASIGNATURAS!$A$2:$D$151, 2, FALSE)</f>
        <v>Semestre temporal: 2º        (8º Semestre Académico)</v>
      </c>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3"/>
      <c r="W231" s="1133"/>
      <c r="X231" s="1133"/>
      <c r="Y231" s="1134"/>
      <c r="Z231" s="1013" t="s">
        <v>158</v>
      </c>
      <c r="AA231" s="1013"/>
      <c r="AB231" s="1013"/>
      <c r="AC231" s="1013"/>
      <c r="AD231" s="1013"/>
      <c r="AE231" s="1014"/>
    </row>
    <row r="232" spans="1:32" ht="38.25" customHeight="1" thickBot="1" x14ac:dyDescent="0.3">
      <c r="A232" s="1132" t="s">
        <v>177</v>
      </c>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3"/>
      <c r="W232" s="1133"/>
      <c r="X232" s="1133"/>
      <c r="Y232" s="1134"/>
      <c r="Z232" s="1015"/>
      <c r="AA232" s="1015"/>
      <c r="AB232" s="1015"/>
      <c r="AC232" s="1015"/>
      <c r="AD232" s="1015"/>
      <c r="AE232" s="1016"/>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64" t="s">
        <v>2</v>
      </c>
      <c r="C234" s="1065"/>
      <c r="D234" s="1065"/>
      <c r="E234" s="1065"/>
      <c r="F234" s="1065"/>
      <c r="G234" s="1066"/>
      <c r="H234" s="975" t="s">
        <v>3</v>
      </c>
      <c r="I234" s="976"/>
      <c r="J234" s="976"/>
      <c r="K234" s="976"/>
      <c r="L234" s="976"/>
      <c r="M234" s="977"/>
      <c r="N234" s="975" t="s">
        <v>135</v>
      </c>
      <c r="O234" s="976"/>
      <c r="P234" s="976"/>
      <c r="Q234" s="976"/>
      <c r="R234" s="976"/>
      <c r="S234" s="977"/>
      <c r="T234" s="1064" t="s">
        <v>4</v>
      </c>
      <c r="U234" s="1065"/>
      <c r="V234" s="1065"/>
      <c r="W234" s="1065"/>
      <c r="X234" s="1065"/>
      <c r="Y234" s="1066"/>
      <c r="Z234" s="1064" t="s">
        <v>5</v>
      </c>
      <c r="AA234" s="1065"/>
      <c r="AB234" s="1065"/>
      <c r="AC234" s="1065"/>
      <c r="AD234" s="1065"/>
      <c r="AE234" s="1066"/>
    </row>
    <row r="235" spans="1:32" ht="30" customHeight="1" x14ac:dyDescent="0.3">
      <c r="A235" s="1375" t="s">
        <v>1091</v>
      </c>
      <c r="B235" s="1537" t="s">
        <v>87</v>
      </c>
      <c r="C235" s="1538"/>
      <c r="D235" s="1538"/>
      <c r="E235" s="1538"/>
      <c r="F235" s="1538"/>
      <c r="G235" s="1539"/>
      <c r="H235" s="1641" t="s">
        <v>87</v>
      </c>
      <c r="I235" s="1642"/>
      <c r="J235" s="1642"/>
      <c r="K235" s="1642"/>
      <c r="L235" s="1642"/>
      <c r="M235" s="1643"/>
      <c r="N235" s="1125"/>
      <c r="O235" s="1126"/>
      <c r="P235" s="1126"/>
      <c r="Q235" s="1126"/>
      <c r="R235" s="1126"/>
      <c r="S235" s="1127"/>
      <c r="T235" s="1125"/>
      <c r="U235" s="1126"/>
      <c r="V235" s="1126"/>
      <c r="W235" s="1126"/>
      <c r="X235" s="1126"/>
      <c r="Y235" s="1127"/>
      <c r="Z235" s="1125"/>
      <c r="AA235" s="1126"/>
      <c r="AB235" s="1126"/>
      <c r="AC235" s="1126"/>
      <c r="AD235" s="1126"/>
      <c r="AE235" s="1127"/>
    </row>
    <row r="236" spans="1:32" ht="30" customHeight="1" x14ac:dyDescent="0.25">
      <c r="A236" s="1105"/>
      <c r="B236" s="1619" t="s">
        <v>158</v>
      </c>
      <c r="C236" s="1620"/>
      <c r="D236" s="1620"/>
      <c r="E236" s="1620"/>
      <c r="F236" s="1620"/>
      <c r="G236" s="1621"/>
      <c r="H236" s="1619" t="s">
        <v>158</v>
      </c>
      <c r="I236" s="1620"/>
      <c r="J236" s="1620"/>
      <c r="K236" s="1620"/>
      <c r="L236" s="1620"/>
      <c r="M236" s="1621"/>
      <c r="N236" s="1069"/>
      <c r="O236" s="1070"/>
      <c r="P236" s="1070"/>
      <c r="Q236" s="1070"/>
      <c r="R236" s="1070"/>
      <c r="S236" s="1071"/>
      <c r="T236" s="1069"/>
      <c r="U236" s="1070"/>
      <c r="V236" s="1070"/>
      <c r="W236" s="1070"/>
      <c r="X236" s="1070"/>
      <c r="Y236" s="1071"/>
      <c r="Z236" s="1069"/>
      <c r="AA236" s="1070"/>
      <c r="AB236" s="1070"/>
      <c r="AC236" s="1070"/>
      <c r="AD236" s="1070"/>
      <c r="AE236" s="1071"/>
      <c r="AF236" s="33"/>
    </row>
    <row r="237" spans="1:32" ht="30" customHeight="1" x14ac:dyDescent="0.3">
      <c r="A237" s="1100" t="s">
        <v>183</v>
      </c>
      <c r="B237" s="1622" t="s">
        <v>510</v>
      </c>
      <c r="C237" s="1623"/>
      <c r="D237" s="1623"/>
      <c r="E237" s="1623"/>
      <c r="F237" s="1623"/>
      <c r="G237" s="1624"/>
      <c r="H237" s="1622" t="s">
        <v>510</v>
      </c>
      <c r="I237" s="1623"/>
      <c r="J237" s="1623"/>
      <c r="K237" s="1623"/>
      <c r="L237" s="1623"/>
      <c r="M237" s="1624"/>
      <c r="N237" s="1062"/>
      <c r="O237" s="1020"/>
      <c r="P237" s="1020"/>
      <c r="Q237" s="1020"/>
      <c r="R237" s="1020"/>
      <c r="S237" s="1063"/>
      <c r="T237" s="1062"/>
      <c r="U237" s="1020"/>
      <c r="V237" s="1020"/>
      <c r="W237" s="1020"/>
      <c r="X237" s="1020"/>
      <c r="Y237" s="1063"/>
      <c r="Z237" s="1062"/>
      <c r="AA237" s="1020"/>
      <c r="AB237" s="1020"/>
      <c r="AC237" s="1020"/>
      <c r="AD237" s="1020"/>
      <c r="AE237" s="1063"/>
    </row>
    <row r="238" spans="1:32" ht="30" customHeight="1" x14ac:dyDescent="0.25">
      <c r="A238" s="1105"/>
      <c r="B238" s="1619" t="s">
        <v>158</v>
      </c>
      <c r="C238" s="1620"/>
      <c r="D238" s="1620"/>
      <c r="E238" s="1620"/>
      <c r="F238" s="1620"/>
      <c r="G238" s="1621"/>
      <c r="H238" s="1619" t="s">
        <v>158</v>
      </c>
      <c r="I238" s="1620"/>
      <c r="J238" s="1620"/>
      <c r="K238" s="1620"/>
      <c r="L238" s="1620"/>
      <c r="M238" s="1621"/>
      <c r="N238" s="1069"/>
      <c r="O238" s="1070"/>
      <c r="P238" s="1070"/>
      <c r="Q238" s="1070"/>
      <c r="R238" s="1070"/>
      <c r="S238" s="1071"/>
      <c r="T238" s="1069"/>
      <c r="U238" s="1070"/>
      <c r="V238" s="1070"/>
      <c r="W238" s="1070"/>
      <c r="X238" s="1070"/>
      <c r="Y238" s="1071"/>
      <c r="Z238" s="1069"/>
      <c r="AA238" s="1070"/>
      <c r="AB238" s="1070"/>
      <c r="AC238" s="1070"/>
      <c r="AD238" s="1070"/>
      <c r="AE238" s="1071"/>
      <c r="AF238" s="33"/>
    </row>
    <row r="239" spans="1:32" ht="30" customHeight="1" x14ac:dyDescent="0.3">
      <c r="A239" s="1321" t="s">
        <v>182</v>
      </c>
      <c r="B239" s="1532" t="s">
        <v>87</v>
      </c>
      <c r="C239" s="1223" t="s">
        <v>569</v>
      </c>
      <c r="D239" s="1324" t="s">
        <v>1237</v>
      </c>
      <c r="E239" s="1607"/>
      <c r="F239" s="1608"/>
      <c r="G239" s="1609"/>
      <c r="H239" s="1532" t="s">
        <v>510</v>
      </c>
      <c r="I239" s="1223" t="s">
        <v>569</v>
      </c>
      <c r="J239" s="1324" t="s">
        <v>567</v>
      </c>
      <c r="K239" s="1607"/>
      <c r="L239" s="1608"/>
      <c r="M239" s="1609"/>
      <c r="N239" s="1062"/>
      <c r="O239" s="1020"/>
      <c r="P239" s="1020"/>
      <c r="Q239" s="1020"/>
      <c r="R239" s="1020"/>
      <c r="S239" s="1063"/>
      <c r="T239" s="1062"/>
      <c r="U239" s="1020"/>
      <c r="V239" s="1020"/>
      <c r="W239" s="1020"/>
      <c r="X239" s="1020"/>
      <c r="Y239" s="1063"/>
      <c r="Z239" s="1062"/>
      <c r="AA239" s="1020"/>
      <c r="AB239" s="1020"/>
      <c r="AC239" s="1020"/>
      <c r="AD239" s="1020"/>
      <c r="AE239" s="1063"/>
    </row>
    <row r="240" spans="1:32" ht="30" customHeight="1" x14ac:dyDescent="0.25">
      <c r="A240" s="1321"/>
      <c r="B240" s="1398"/>
      <c r="C240" s="938"/>
      <c r="D240" s="1051"/>
      <c r="E240" s="1610"/>
      <c r="F240" s="1411"/>
      <c r="G240" s="1611"/>
      <c r="H240" s="1398"/>
      <c r="I240" s="938"/>
      <c r="J240" s="1051"/>
      <c r="K240" s="1610"/>
      <c r="L240" s="1411"/>
      <c r="M240" s="1611"/>
      <c r="N240" s="1069"/>
      <c r="O240" s="1070"/>
      <c r="P240" s="1070"/>
      <c r="Q240" s="1070"/>
      <c r="R240" s="1070"/>
      <c r="S240" s="1071"/>
      <c r="T240" s="1069"/>
      <c r="U240" s="1070"/>
      <c r="V240" s="1070"/>
      <c r="W240" s="1070"/>
      <c r="X240" s="1070"/>
      <c r="Y240" s="1071"/>
      <c r="Z240" s="1069"/>
      <c r="AA240" s="1070"/>
      <c r="AB240" s="1070"/>
      <c r="AC240" s="1070"/>
      <c r="AD240" s="1070"/>
      <c r="AE240" s="1071"/>
      <c r="AF240" s="33"/>
    </row>
    <row r="241" spans="1:41" ht="30" customHeight="1" x14ac:dyDescent="0.3">
      <c r="A241" s="1105" t="s">
        <v>184</v>
      </c>
      <c r="B241" s="1398"/>
      <c r="C241" s="938"/>
      <c r="D241" s="1051"/>
      <c r="E241" s="1610"/>
      <c r="F241" s="1411"/>
      <c r="G241" s="1611"/>
      <c r="H241" s="1398"/>
      <c r="I241" s="938"/>
      <c r="J241" s="1051"/>
      <c r="K241" s="1610"/>
      <c r="L241" s="1411"/>
      <c r="M241" s="1611"/>
      <c r="N241" s="1062"/>
      <c r="O241" s="1020"/>
      <c r="P241" s="1020"/>
      <c r="Q241" s="1020"/>
      <c r="R241" s="1020"/>
      <c r="S241" s="1063"/>
      <c r="T241" s="1062"/>
      <c r="U241" s="1020"/>
      <c r="V241" s="1020"/>
      <c r="W241" s="1020"/>
      <c r="X241" s="1020"/>
      <c r="Y241" s="1063"/>
      <c r="Z241" s="1062"/>
      <c r="AA241" s="1020"/>
      <c r="AB241" s="1020"/>
      <c r="AC241" s="1020"/>
      <c r="AD241" s="1020"/>
      <c r="AE241" s="1063"/>
    </row>
    <row r="242" spans="1:41" ht="30" customHeight="1" x14ac:dyDescent="0.25">
      <c r="A242" s="1321"/>
      <c r="B242" s="1398"/>
      <c r="C242" s="1053"/>
      <c r="D242" s="1052"/>
      <c r="E242" s="1612"/>
      <c r="F242" s="1613"/>
      <c r="G242" s="1614"/>
      <c r="H242" s="1399"/>
      <c r="I242" s="1053"/>
      <c r="J242" s="1052"/>
      <c r="K242" s="1612"/>
      <c r="L242" s="1613"/>
      <c r="M242" s="1614"/>
      <c r="N242" s="1069"/>
      <c r="O242" s="1070"/>
      <c r="P242" s="1070"/>
      <c r="Q242" s="1070"/>
      <c r="R242" s="1070"/>
      <c r="S242" s="1071"/>
      <c r="T242" s="1069"/>
      <c r="U242" s="1070"/>
      <c r="V242" s="1070"/>
      <c r="W242" s="1070"/>
      <c r="X242" s="1070"/>
      <c r="Y242" s="1071"/>
      <c r="Z242" s="1069"/>
      <c r="AA242" s="1070"/>
      <c r="AB242" s="1070"/>
      <c r="AC242" s="1070"/>
      <c r="AD242" s="1070"/>
      <c r="AE242" s="1071"/>
      <c r="AM242" s="1151"/>
      <c r="AN242" s="938"/>
      <c r="AO242" s="1334"/>
    </row>
    <row r="243" spans="1:41" ht="30" customHeight="1" x14ac:dyDescent="0.3">
      <c r="A243" s="1100" t="s">
        <v>185</v>
      </c>
      <c r="B243" s="1020"/>
      <c r="C243" s="1020"/>
      <c r="D243" s="1020"/>
      <c r="E243" s="1020"/>
      <c r="F243" s="1020"/>
      <c r="G243" s="1063"/>
      <c r="H243" s="1020"/>
      <c r="I243" s="1020"/>
      <c r="J243" s="1020"/>
      <c r="K243" s="1020"/>
      <c r="L243" s="1020"/>
      <c r="M243" s="1063"/>
      <c r="N243" s="1020"/>
      <c r="O243" s="1020"/>
      <c r="P243" s="1020"/>
      <c r="Q243" s="1020"/>
      <c r="R243" s="1020"/>
      <c r="S243" s="1063"/>
      <c r="T243" s="998"/>
      <c r="U243" s="999"/>
      <c r="V243" s="999"/>
      <c r="W243" s="999"/>
      <c r="X243" s="999"/>
      <c r="Y243" s="1000"/>
      <c r="Z243" s="1062"/>
      <c r="AA243" s="1020"/>
      <c r="AB243" s="1020"/>
      <c r="AC243" s="1020"/>
      <c r="AD243" s="1020"/>
      <c r="AE243" s="1063"/>
      <c r="AM243" s="1151"/>
      <c r="AN243" s="938"/>
      <c r="AO243" s="1334"/>
    </row>
    <row r="244" spans="1:41" ht="30" customHeight="1" x14ac:dyDescent="0.25">
      <c r="A244" s="1105"/>
      <c r="B244" s="1130"/>
      <c r="C244" s="1130"/>
      <c r="D244" s="1130"/>
      <c r="E244" s="1130"/>
      <c r="F244" s="1130"/>
      <c r="G244" s="1131"/>
      <c r="H244" s="1130"/>
      <c r="I244" s="1130"/>
      <c r="J244" s="1130"/>
      <c r="K244" s="1130"/>
      <c r="L244" s="1130"/>
      <c r="M244" s="1131"/>
      <c r="N244" s="1130"/>
      <c r="O244" s="1130"/>
      <c r="P244" s="1130"/>
      <c r="Q244" s="1130"/>
      <c r="R244" s="1130"/>
      <c r="S244" s="1131"/>
      <c r="T244" s="1129"/>
      <c r="U244" s="1130"/>
      <c r="V244" s="1130"/>
      <c r="W244" s="1130"/>
      <c r="X244" s="1130"/>
      <c r="Y244" s="1131"/>
      <c r="Z244" s="1129"/>
      <c r="AA244" s="1130"/>
      <c r="AB244" s="1130"/>
      <c r="AC244" s="1130"/>
      <c r="AD244" s="1130"/>
      <c r="AE244" s="1131"/>
      <c r="AF244" s="33"/>
      <c r="AM244" s="1151"/>
      <c r="AN244" s="938"/>
      <c r="AO244" s="1334"/>
    </row>
    <row r="245" spans="1:41" ht="30" customHeight="1" x14ac:dyDescent="0.3">
      <c r="A245" s="1486" t="s">
        <v>186</v>
      </c>
      <c r="B245" s="1615"/>
      <c r="C245" s="1616"/>
      <c r="D245" s="1616"/>
      <c r="E245" s="1616"/>
      <c r="F245" s="1617"/>
      <c r="G245" s="1618"/>
      <c r="H245" s="1062"/>
      <c r="I245" s="1020"/>
      <c r="J245" s="1020"/>
      <c r="K245" s="1020"/>
      <c r="L245" s="1020"/>
      <c r="M245" s="1063"/>
      <c r="N245" s="1062"/>
      <c r="O245" s="1020"/>
      <c r="P245" s="1020"/>
      <c r="Q245" s="1020"/>
      <c r="R245" s="1020"/>
      <c r="S245" s="1063"/>
      <c r="T245" s="1062"/>
      <c r="U245" s="1020"/>
      <c r="V245" s="1020"/>
      <c r="W245" s="1020"/>
      <c r="X245" s="1020"/>
      <c r="Y245" s="1063"/>
      <c r="Z245" s="1062"/>
      <c r="AA245" s="1020"/>
      <c r="AB245" s="1020"/>
      <c r="AC245" s="1020"/>
      <c r="AD245" s="1020"/>
      <c r="AE245" s="1063"/>
      <c r="AM245" s="1151"/>
      <c r="AN245" s="938"/>
      <c r="AO245" s="1334"/>
    </row>
    <row r="246" spans="1:41" ht="41.25" customHeight="1" thickBot="1" x14ac:dyDescent="0.3">
      <c r="A246" s="1483"/>
      <c r="B246" s="1142"/>
      <c r="C246" s="1143"/>
      <c r="D246" s="1143"/>
      <c r="E246" s="1143"/>
      <c r="F246" s="1143"/>
      <c r="G246" s="1144"/>
      <c r="H246" s="1142"/>
      <c r="I246" s="1143"/>
      <c r="J246" s="1143"/>
      <c r="K246" s="1143"/>
      <c r="L246" s="1143"/>
      <c r="M246" s="1144"/>
      <c r="N246" s="1142"/>
      <c r="O246" s="1143"/>
      <c r="P246" s="1143"/>
      <c r="Q246" s="1143"/>
      <c r="R246" s="1143"/>
      <c r="S246" s="1144"/>
      <c r="T246" s="1142"/>
      <c r="U246" s="1143"/>
      <c r="V246" s="1143"/>
      <c r="W246" s="1143"/>
      <c r="X246" s="1143"/>
      <c r="Y246" s="1144"/>
      <c r="Z246" s="1142"/>
      <c r="AA246" s="1143"/>
      <c r="AB246" s="1143"/>
      <c r="AC246" s="1143"/>
      <c r="AD246" s="1143"/>
      <c r="AE246" s="1144"/>
    </row>
    <row r="247" spans="1:41" ht="18.75" customHeight="1" thickBot="1" x14ac:dyDescent="0.3">
      <c r="A247" s="226"/>
    </row>
    <row r="248" spans="1:41" ht="15.6" thickBot="1" x14ac:dyDescent="0.3">
      <c r="A248" s="1033" t="s">
        <v>214</v>
      </c>
      <c r="B248" s="935"/>
      <c r="C248" s="934" t="s">
        <v>215</v>
      </c>
      <c r="D248" s="934"/>
      <c r="E248" s="934"/>
      <c r="F248" s="934"/>
      <c r="G248" s="934"/>
      <c r="H248" s="934"/>
      <c r="I248" s="934"/>
      <c r="J248" s="934"/>
      <c r="K248" s="934"/>
      <c r="L248" s="58"/>
      <c r="M248" s="1034" t="s">
        <v>307</v>
      </c>
      <c r="N248" s="1035"/>
      <c r="O248" s="934" t="s">
        <v>139</v>
      </c>
      <c r="P248" s="935"/>
      <c r="Q248" s="934" t="s">
        <v>163</v>
      </c>
      <c r="R248" s="934"/>
      <c r="S248" s="934"/>
      <c r="T248" s="934"/>
      <c r="U248" s="934"/>
      <c r="V248" s="934"/>
      <c r="W248" s="934"/>
      <c r="X248" s="934"/>
      <c r="Y248" s="934"/>
      <c r="Z248" s="934"/>
      <c r="AA248" s="934"/>
      <c r="AB248" s="934"/>
      <c r="AC248" s="934"/>
      <c r="AD248" s="934"/>
      <c r="AE248" s="935"/>
    </row>
    <row r="249" spans="1:41" ht="13.8" x14ac:dyDescent="0.25">
      <c r="A249" s="1036" t="str">
        <f>VLOOKUP(M249,ASIGNATURAS!$F$1:$L$1022, 3, FALSE)</f>
        <v>AUTIND</v>
      </c>
      <c r="B249" s="1037"/>
      <c r="C249" s="1056" t="str">
        <f>VLOOKUP(M249,ASIGNATURAS!$F$1:$L$1022, 4, FALSE)</f>
        <v>Automatización Industrial</v>
      </c>
      <c r="D249" s="1057"/>
      <c r="E249" s="1057"/>
      <c r="F249" s="1057"/>
      <c r="G249" s="1057"/>
      <c r="H249" s="1057"/>
      <c r="I249" s="1057"/>
      <c r="J249" s="1057"/>
      <c r="K249" s="1057"/>
      <c r="L249" s="1058"/>
      <c r="M249" s="1028">
        <v>6431</v>
      </c>
      <c r="N249" s="1029"/>
      <c r="O249" s="1028">
        <f>VLOOKUP(M249,ASIGNATURAS!$F$1:$L$1022, 5, FALSE)</f>
        <v>6</v>
      </c>
      <c r="P249" s="1029"/>
      <c r="Q249" s="1056" t="str">
        <f>VLOOKUP(M249,ASIGNATURAS!$F$1:$L$1022, 6, FALSE)</f>
        <v>Juan Vicente Martín Fraile</v>
      </c>
      <c r="R249" s="1057"/>
      <c r="S249" s="1057"/>
      <c r="T249" s="1057"/>
      <c r="U249" s="1057"/>
      <c r="V249" s="1057"/>
      <c r="W249" s="1057"/>
      <c r="X249" s="1057"/>
      <c r="Y249" s="1057"/>
      <c r="Z249" s="1057"/>
      <c r="AA249" s="1057"/>
      <c r="AB249" s="1057"/>
      <c r="AC249" s="1057"/>
      <c r="AD249" s="1057"/>
      <c r="AE249" s="1058"/>
    </row>
    <row r="250" spans="1:41" ht="13.8" x14ac:dyDescent="0.25">
      <c r="A250" s="1188" t="str">
        <f>VLOOKUP(M250,ASIGNATURAS!$F$1:$L$1022, 3, FALSE)</f>
        <v>ROBOTICA</v>
      </c>
      <c r="B250" s="1189"/>
      <c r="C250" s="981" t="str">
        <f>VLOOKUP(M250,ASIGNATURAS!$F$1:$L$1022, 4, FALSE)</f>
        <v>Robótica Industrial</v>
      </c>
      <c r="D250" s="982"/>
      <c r="E250" s="982"/>
      <c r="F250" s="982"/>
      <c r="G250" s="982"/>
      <c r="H250" s="982"/>
      <c r="I250" s="982"/>
      <c r="J250" s="982"/>
      <c r="K250" s="982"/>
      <c r="L250" s="983"/>
      <c r="M250" s="936">
        <v>6432</v>
      </c>
      <c r="N250" s="937"/>
      <c r="O250" s="936">
        <f>VLOOKUP(M250,ASIGNATURAS!$F$1:$L$1022, 5, FALSE)</f>
        <v>6</v>
      </c>
      <c r="P250" s="937"/>
      <c r="Q250" s="981" t="str">
        <f>VLOOKUP(M250,ASIGNATURAS!$F$1:$L$1022, 6, FALSE)</f>
        <v>Jesús Enrique Sierra</v>
      </c>
      <c r="R250" s="982"/>
      <c r="S250" s="982"/>
      <c r="T250" s="982"/>
      <c r="U250" s="982"/>
      <c r="V250" s="982"/>
      <c r="W250" s="982"/>
      <c r="X250" s="982"/>
      <c r="Y250" s="982"/>
      <c r="Z250" s="982"/>
      <c r="AA250" s="982"/>
      <c r="AB250" s="982"/>
      <c r="AC250" s="982"/>
      <c r="AD250" s="982"/>
      <c r="AE250" s="983"/>
    </row>
    <row r="252" spans="1:41" ht="24" customHeight="1" x14ac:dyDescent="0.25"/>
    <row r="253" spans="1:41" ht="24" customHeight="1" x14ac:dyDescent="0.25">
      <c r="A253" s="1145" t="s">
        <v>1005</v>
      </c>
      <c r="B253" s="1145"/>
      <c r="C253" s="1145"/>
      <c r="D253" s="1145"/>
      <c r="E253" s="1145"/>
    </row>
    <row r="254" spans="1:41" ht="15" x14ac:dyDescent="0.25">
      <c r="A254" s="1148" t="s">
        <v>1006</v>
      </c>
      <c r="B254" s="1148"/>
      <c r="C254" s="1148"/>
      <c r="D254" s="1148"/>
      <c r="E254" s="1148"/>
    </row>
    <row r="256" spans="1:41" x14ac:dyDescent="0.25">
      <c r="A256" s="25" t="s">
        <v>213</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N242:S242"/>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T208:Y208"/>
    <mergeCell ref="J205:J208"/>
    <mergeCell ref="K205:K208"/>
    <mergeCell ref="V201:V206"/>
    <mergeCell ref="N201:N204"/>
    <mergeCell ref="W201:W204"/>
    <mergeCell ref="H201:H204"/>
    <mergeCell ref="O201:O204"/>
    <mergeCell ref="X201:X204"/>
    <mergeCell ref="L205:L208"/>
    <mergeCell ref="I205:I208"/>
    <mergeCell ref="I201:I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T238:Y238"/>
    <mergeCell ref="Z239:AE239"/>
    <mergeCell ref="Z240:AE240"/>
    <mergeCell ref="H239:H242"/>
    <mergeCell ref="I239:I242"/>
    <mergeCell ref="Z243:AE243"/>
    <mergeCell ref="T244:Y244"/>
    <mergeCell ref="T245:Y245"/>
    <mergeCell ref="Z238:AE238"/>
    <mergeCell ref="H245:M24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I171:I1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W171:W174"/>
    <mergeCell ref="X171:X174"/>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8" zoomScale="69" zoomScaleNormal="60" zoomScaleSheetLayoutView="69" zoomScalePageLayoutView="59" workbookViewId="0">
      <selection activeCell="V167" sqref="V167:AE1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113" t="str">
        <f>VLOOKUP(A4,ASIGNATURAS!$A$2:$D$151, 3, FALSE)</f>
        <v>1º Grado en Ingeniería Mecánica</v>
      </c>
      <c r="B1" s="2114"/>
      <c r="C1" s="2114"/>
      <c r="D1" s="2114"/>
      <c r="E1" s="2114"/>
      <c r="F1" s="2114"/>
      <c r="G1" s="2114"/>
      <c r="H1" s="2114"/>
      <c r="I1" s="2114"/>
      <c r="J1" s="2114"/>
      <c r="K1" s="2114"/>
      <c r="L1" s="2114"/>
      <c r="M1" s="2114"/>
      <c r="N1" s="2114"/>
      <c r="O1" s="2114"/>
      <c r="P1" s="2114"/>
      <c r="Q1" s="2114"/>
      <c r="R1" s="2114"/>
      <c r="S1" s="2114"/>
      <c r="T1" s="2114"/>
      <c r="U1" s="2114"/>
      <c r="V1" s="2114"/>
      <c r="W1" s="2114"/>
      <c r="X1" s="2114"/>
      <c r="Y1" s="2114"/>
      <c r="Z1" s="2114"/>
      <c r="AA1" s="2114"/>
      <c r="AB1" s="2114"/>
      <c r="AC1" s="2114"/>
      <c r="AD1" s="2114"/>
      <c r="AE1" s="2114"/>
      <c r="AF1" s="2114"/>
      <c r="AG1" s="2114"/>
      <c r="AH1" s="2114"/>
      <c r="AI1" s="2114"/>
      <c r="AJ1" s="2114"/>
      <c r="AK1" s="2114"/>
      <c r="AL1" s="2114"/>
      <c r="AM1" s="2114"/>
      <c r="AN1" s="2114"/>
      <c r="AO1" s="2115"/>
      <c r="AP1" s="1064" t="str">
        <f>Aulas!G5</f>
        <v>Curso 2024-2025</v>
      </c>
      <c r="AQ1" s="1065"/>
      <c r="AR1" s="1065"/>
      <c r="AS1" s="1065"/>
      <c r="AT1" s="1065"/>
      <c r="AU1" s="1065"/>
      <c r="AV1" s="1065"/>
      <c r="AW1" s="1065"/>
      <c r="AX1" s="1065"/>
      <c r="AY1" s="1066"/>
    </row>
    <row r="2" spans="1:5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116" t="s">
        <v>147</v>
      </c>
      <c r="AQ2" s="2116"/>
      <c r="AR2" s="2116"/>
      <c r="AS2" s="2116"/>
      <c r="AT2" s="2116"/>
      <c r="AU2" s="2116"/>
      <c r="AV2" s="2116"/>
      <c r="AW2" s="2116"/>
      <c r="AX2" s="2116"/>
      <c r="AY2" s="2117"/>
    </row>
    <row r="3" spans="1:5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118"/>
      <c r="AQ3" s="2118"/>
      <c r="AR3" s="2118"/>
      <c r="AS3" s="2118"/>
      <c r="AT3" s="2118"/>
      <c r="AU3" s="2118"/>
      <c r="AV3" s="2118"/>
      <c r="AW3" s="2118"/>
      <c r="AX3" s="2118"/>
      <c r="AY3" s="2119"/>
    </row>
    <row r="4" spans="1:59" ht="18" thickBot="1" x14ac:dyDescent="0.3">
      <c r="A4" s="23" t="s">
        <v>14</v>
      </c>
    </row>
    <row r="5" spans="1:59" s="2" customFormat="1" ht="24" customHeight="1" thickBot="1" x14ac:dyDescent="0.3">
      <c r="A5" s="24" t="s">
        <v>1</v>
      </c>
      <c r="B5" s="975" t="s">
        <v>2</v>
      </c>
      <c r="C5" s="976"/>
      <c r="D5" s="976"/>
      <c r="E5" s="976"/>
      <c r="F5" s="976"/>
      <c r="G5" s="976"/>
      <c r="H5" s="976"/>
      <c r="I5" s="976"/>
      <c r="J5" s="976"/>
      <c r="K5" s="977"/>
      <c r="L5" s="1064" t="s">
        <v>3</v>
      </c>
      <c r="M5" s="1065"/>
      <c r="N5" s="1065"/>
      <c r="O5" s="1065"/>
      <c r="P5" s="1065"/>
      <c r="Q5" s="1065"/>
      <c r="R5" s="1065"/>
      <c r="S5" s="1065"/>
      <c r="T5" s="1065"/>
      <c r="U5" s="1066"/>
      <c r="V5" s="1064" t="s">
        <v>135</v>
      </c>
      <c r="W5" s="1065"/>
      <c r="X5" s="1065"/>
      <c r="Y5" s="1065"/>
      <c r="Z5" s="1065"/>
      <c r="AA5" s="1065"/>
      <c r="AB5" s="1065"/>
      <c r="AC5" s="1065"/>
      <c r="AD5" s="1065"/>
      <c r="AE5" s="1066"/>
      <c r="AF5" s="975" t="s">
        <v>4</v>
      </c>
      <c r="AG5" s="976"/>
      <c r="AH5" s="976"/>
      <c r="AI5" s="976"/>
      <c r="AJ5" s="976"/>
      <c r="AK5" s="976"/>
      <c r="AL5" s="976"/>
      <c r="AM5" s="976"/>
      <c r="AN5" s="976"/>
      <c r="AO5" s="977"/>
      <c r="AP5" s="975" t="s">
        <v>5</v>
      </c>
      <c r="AQ5" s="976"/>
      <c r="AR5" s="976"/>
      <c r="AS5" s="976"/>
      <c r="AT5" s="976"/>
      <c r="AU5" s="976"/>
      <c r="AV5" s="976"/>
      <c r="AW5" s="976"/>
      <c r="AX5" s="976"/>
      <c r="AY5" s="977"/>
    </row>
    <row r="6" spans="1:59" ht="35.25" customHeight="1" x14ac:dyDescent="0.25">
      <c r="A6" s="1160" t="s">
        <v>10</v>
      </c>
      <c r="B6" s="478" t="s">
        <v>569</v>
      </c>
      <c r="C6" s="1811" t="s">
        <v>1287</v>
      </c>
      <c r="D6" s="486"/>
      <c r="E6" s="388"/>
      <c r="F6" s="480" t="s">
        <v>571</v>
      </c>
      <c r="G6" s="1811" t="s">
        <v>1286</v>
      </c>
      <c r="H6" s="500"/>
      <c r="I6" s="20"/>
      <c r="J6" s="517"/>
      <c r="K6" s="518"/>
      <c r="L6" s="82"/>
      <c r="M6" s="2130"/>
      <c r="N6" s="78"/>
      <c r="O6" s="2130"/>
      <c r="P6" s="223" t="s">
        <v>571</v>
      </c>
      <c r="Q6" s="1904" t="s">
        <v>1150</v>
      </c>
      <c r="R6" s="825" t="s">
        <v>572</v>
      </c>
      <c r="S6" s="2155" t="s">
        <v>161</v>
      </c>
      <c r="T6" s="826" t="s">
        <v>1145</v>
      </c>
      <c r="U6" s="2142" t="s">
        <v>145</v>
      </c>
      <c r="V6" s="94" t="s">
        <v>569</v>
      </c>
      <c r="W6" s="2128" t="s">
        <v>659</v>
      </c>
      <c r="X6" s="95" t="s">
        <v>570</v>
      </c>
      <c r="Y6" s="2142" t="s">
        <v>1272</v>
      </c>
      <c r="Z6" s="230"/>
      <c r="AA6" s="1990"/>
      <c r="AB6" s="78"/>
      <c r="AC6" s="2130"/>
      <c r="AD6" s="566"/>
      <c r="AE6" s="2123"/>
      <c r="AF6" s="547" t="s">
        <v>569</v>
      </c>
      <c r="AG6" s="2125" t="s">
        <v>145</v>
      </c>
      <c r="AH6" s="383" t="s">
        <v>570</v>
      </c>
      <c r="AI6" s="2125" t="s">
        <v>559</v>
      </c>
      <c r="AJ6" s="383" t="s">
        <v>571</v>
      </c>
      <c r="AK6" s="2125" t="s">
        <v>161</v>
      </c>
      <c r="AL6" s="1218"/>
      <c r="AM6" s="2168"/>
      <c r="AN6" s="471"/>
      <c r="AO6" s="2127"/>
      <c r="AP6" s="827"/>
      <c r="AQ6" s="2130"/>
      <c r="AR6" s="261"/>
      <c r="AS6" s="2127"/>
      <c r="AT6" s="261"/>
      <c r="AU6" s="2127"/>
      <c r="AV6" s="383" t="s">
        <v>572</v>
      </c>
      <c r="AW6" s="1904" t="s">
        <v>1150</v>
      </c>
      <c r="AX6" s="301"/>
      <c r="AY6" s="2120"/>
      <c r="BA6" s="304"/>
      <c r="BB6" s="1955"/>
    </row>
    <row r="7" spans="1:59" ht="40.5" customHeight="1" x14ac:dyDescent="0.25">
      <c r="A7" s="1161"/>
      <c r="B7" s="1796" t="s">
        <v>1308</v>
      </c>
      <c r="C7" s="1811"/>
      <c r="D7" s="487"/>
      <c r="E7" s="105"/>
      <c r="F7" s="1797" t="s">
        <v>1308</v>
      </c>
      <c r="G7" s="1811"/>
      <c r="H7" s="500"/>
      <c r="I7" s="20"/>
      <c r="J7" s="801"/>
      <c r="K7" s="802"/>
      <c r="L7" s="2121"/>
      <c r="M7" s="2127"/>
      <c r="N7" s="2122"/>
      <c r="O7" s="2127"/>
      <c r="P7" s="1797" t="s">
        <v>78</v>
      </c>
      <c r="Q7" s="1811"/>
      <c r="R7" s="2170" t="s">
        <v>23</v>
      </c>
      <c r="S7" s="2156"/>
      <c r="T7" s="2141" t="s">
        <v>12</v>
      </c>
      <c r="U7" s="2125"/>
      <c r="V7" s="2135" t="s">
        <v>78</v>
      </c>
      <c r="W7" s="2129"/>
      <c r="X7" s="2141" t="s">
        <v>13</v>
      </c>
      <c r="Y7" s="2125"/>
      <c r="Z7" s="1794"/>
      <c r="AA7" s="1991"/>
      <c r="AB7" s="2139"/>
      <c r="AC7" s="2127"/>
      <c r="AD7" s="2140"/>
      <c r="AE7" s="2120"/>
      <c r="AF7" s="2135" t="s">
        <v>12</v>
      </c>
      <c r="AG7" s="2125"/>
      <c r="AH7" s="2141" t="s">
        <v>78</v>
      </c>
      <c r="AI7" s="2125"/>
      <c r="AJ7" s="2141" t="s">
        <v>23</v>
      </c>
      <c r="AK7" s="2125"/>
      <c r="AL7" s="1218"/>
      <c r="AM7" s="2168"/>
      <c r="AN7" s="2121"/>
      <c r="AO7" s="2127"/>
      <c r="AP7" s="2079"/>
      <c r="AQ7" s="2127"/>
      <c r="AR7" s="2139"/>
      <c r="AS7" s="2127"/>
      <c r="AT7" s="2139"/>
      <c r="AU7" s="2127"/>
      <c r="AV7" s="2141" t="s">
        <v>78</v>
      </c>
      <c r="AW7" s="1811"/>
      <c r="AX7" s="2140"/>
      <c r="AY7" s="2120"/>
      <c r="BA7" s="1963"/>
      <c r="BB7" s="1955"/>
    </row>
    <row r="8" spans="1:59" ht="33.75" customHeight="1" x14ac:dyDescent="0.25">
      <c r="A8" s="1161" t="s">
        <v>11</v>
      </c>
      <c r="B8" s="1796"/>
      <c r="C8" s="1811"/>
      <c r="D8" s="479" t="s">
        <v>570</v>
      </c>
      <c r="E8" s="1810" t="s">
        <v>161</v>
      </c>
      <c r="F8" s="1797"/>
      <c r="G8" s="1811"/>
      <c r="H8" s="161" t="s">
        <v>572</v>
      </c>
      <c r="I8" s="2138" t="s">
        <v>1272</v>
      </c>
      <c r="J8" s="801"/>
      <c r="K8" s="802"/>
      <c r="L8" s="2121"/>
      <c r="M8" s="2127"/>
      <c r="N8" s="2122"/>
      <c r="O8" s="2127"/>
      <c r="P8" s="1797"/>
      <c r="Q8" s="1811"/>
      <c r="R8" s="2170"/>
      <c r="S8" s="2156"/>
      <c r="T8" s="2141"/>
      <c r="U8" s="2125"/>
      <c r="V8" s="2135"/>
      <c r="W8" s="2129"/>
      <c r="X8" s="2141"/>
      <c r="Y8" s="2125"/>
      <c r="Z8" s="1794"/>
      <c r="AA8" s="1991"/>
      <c r="AB8" s="2139"/>
      <c r="AC8" s="2127"/>
      <c r="AD8" s="2140"/>
      <c r="AE8" s="2120"/>
      <c r="AF8" s="2135"/>
      <c r="AG8" s="2125"/>
      <c r="AH8" s="2141"/>
      <c r="AI8" s="2125"/>
      <c r="AJ8" s="2141"/>
      <c r="AK8" s="2125"/>
      <c r="AL8" s="1218"/>
      <c r="AM8" s="2168"/>
      <c r="AN8" s="2121"/>
      <c r="AO8" s="2127"/>
      <c r="AP8" s="2079"/>
      <c r="AQ8" s="2127"/>
      <c r="AR8" s="2139"/>
      <c r="AS8" s="2127"/>
      <c r="AT8" s="2139"/>
      <c r="AU8" s="2127"/>
      <c r="AV8" s="2141"/>
      <c r="AW8" s="1811"/>
      <c r="AX8" s="2140"/>
      <c r="AY8" s="2120"/>
      <c r="BA8" s="1963"/>
      <c r="BB8" s="1955"/>
    </row>
    <row r="9" spans="1:59" ht="40.5" customHeight="1" thickBot="1" x14ac:dyDescent="0.3">
      <c r="A9" s="1161"/>
      <c r="B9" s="1796"/>
      <c r="C9" s="1811"/>
      <c r="D9" s="1797" t="s">
        <v>23</v>
      </c>
      <c r="E9" s="1811"/>
      <c r="F9" s="1797"/>
      <c r="G9" s="1811"/>
      <c r="H9" s="2141" t="s">
        <v>13</v>
      </c>
      <c r="I9" s="2125"/>
      <c r="J9" s="801"/>
      <c r="K9" s="802"/>
      <c r="L9" s="2121"/>
      <c r="M9" s="2127"/>
      <c r="N9" s="2122"/>
      <c r="O9" s="2127"/>
      <c r="P9" s="1797"/>
      <c r="Q9" s="1812"/>
      <c r="R9" s="2171"/>
      <c r="S9" s="2156"/>
      <c r="T9" s="2141"/>
      <c r="U9" s="2125"/>
      <c r="V9" s="2135"/>
      <c r="W9" s="2129"/>
      <c r="X9" s="2141"/>
      <c r="Y9" s="2125"/>
      <c r="Z9" s="1794"/>
      <c r="AA9" s="1991"/>
      <c r="AB9" s="2139"/>
      <c r="AC9" s="2127"/>
      <c r="AD9" s="2140"/>
      <c r="AE9" s="2124"/>
      <c r="AF9" s="2135"/>
      <c r="AG9" s="2126"/>
      <c r="AH9" s="2141"/>
      <c r="AI9" s="2126"/>
      <c r="AJ9" s="2141"/>
      <c r="AK9" s="2126"/>
      <c r="AL9" s="1221"/>
      <c r="AM9" s="2169"/>
      <c r="AN9" s="2121"/>
      <c r="AO9" s="2152"/>
      <c r="AP9" s="2080"/>
      <c r="AQ9" s="2127"/>
      <c r="AR9" s="2139"/>
      <c r="AS9" s="2127"/>
      <c r="AT9" s="2139"/>
      <c r="AU9" s="2127"/>
      <c r="AV9" s="2141"/>
      <c r="AW9" s="1811"/>
      <c r="AX9" s="2140"/>
      <c r="AY9" s="2120"/>
      <c r="BA9" s="1963"/>
      <c r="BB9" s="1955"/>
    </row>
    <row r="10" spans="1:59" ht="30.75" customHeight="1" x14ac:dyDescent="0.25">
      <c r="A10" s="1161" t="s">
        <v>6</v>
      </c>
      <c r="B10" s="1796"/>
      <c r="C10" s="1811"/>
      <c r="D10" s="1797"/>
      <c r="E10" s="1811"/>
      <c r="F10" s="1797"/>
      <c r="G10" s="1811"/>
      <c r="H10" s="2141"/>
      <c r="I10" s="2125"/>
      <c r="J10" s="801"/>
      <c r="K10" s="802"/>
      <c r="L10" s="2131" t="s">
        <v>12</v>
      </c>
      <c r="M10" s="2132"/>
      <c r="N10" s="2132"/>
      <c r="O10" s="2132"/>
      <c r="P10" s="2132"/>
      <c r="Q10" s="2132"/>
      <c r="R10" s="2136" t="s">
        <v>147</v>
      </c>
      <c r="S10" s="2136"/>
      <c r="T10" s="2136"/>
      <c r="U10" s="2137"/>
      <c r="V10" s="2131" t="s">
        <v>13</v>
      </c>
      <c r="W10" s="2132"/>
      <c r="X10" s="2132"/>
      <c r="Y10" s="2132"/>
      <c r="Z10" s="2132"/>
      <c r="AA10" s="2132"/>
      <c r="AB10" s="2136" t="s">
        <v>147</v>
      </c>
      <c r="AC10" s="2136"/>
      <c r="AD10" s="2136"/>
      <c r="AE10" s="2137"/>
      <c r="AF10" s="2131" t="s">
        <v>12</v>
      </c>
      <c r="AG10" s="2132"/>
      <c r="AH10" s="2132"/>
      <c r="AI10" s="2132"/>
      <c r="AJ10" s="2132"/>
      <c r="AK10" s="2132"/>
      <c r="AL10" s="2136" t="s">
        <v>147</v>
      </c>
      <c r="AM10" s="2136"/>
      <c r="AN10" s="2136"/>
      <c r="AO10" s="2137"/>
      <c r="AP10" s="2131" t="s">
        <v>23</v>
      </c>
      <c r="AQ10" s="2132"/>
      <c r="AR10" s="2132"/>
      <c r="AS10" s="2132"/>
      <c r="AT10" s="2132"/>
      <c r="AU10" s="2132"/>
      <c r="AV10" s="2136" t="s">
        <v>147</v>
      </c>
      <c r="AW10" s="2136"/>
      <c r="AX10" s="2136"/>
      <c r="AY10" s="2137"/>
    </row>
    <row r="11" spans="1:59" ht="35.25" customHeight="1" thickBot="1" x14ac:dyDescent="0.3">
      <c r="A11" s="1161"/>
      <c r="B11" s="1949"/>
      <c r="C11" s="1812"/>
      <c r="D11" s="2001"/>
      <c r="E11" s="1812"/>
      <c r="F11" s="2001"/>
      <c r="G11" s="1812"/>
      <c r="H11" s="2141"/>
      <c r="I11" s="2126"/>
      <c r="J11" s="803"/>
      <c r="K11" s="804"/>
      <c r="L11" s="2133"/>
      <c r="M11" s="2134"/>
      <c r="N11" s="2134"/>
      <c r="O11" s="2134"/>
      <c r="P11" s="2134"/>
      <c r="Q11" s="2134"/>
      <c r="R11" s="2044"/>
      <c r="S11" s="2044"/>
      <c r="T11" s="2044"/>
      <c r="U11" s="2045"/>
      <c r="V11" s="2133"/>
      <c r="W11" s="2134"/>
      <c r="X11" s="2134"/>
      <c r="Y11" s="2134"/>
      <c r="Z11" s="2134"/>
      <c r="AA11" s="2134"/>
      <c r="AB11" s="2044"/>
      <c r="AC11" s="2044"/>
      <c r="AD11" s="2044"/>
      <c r="AE11" s="2045"/>
      <c r="AF11" s="2133"/>
      <c r="AG11" s="2134"/>
      <c r="AH11" s="2134"/>
      <c r="AI11" s="2134"/>
      <c r="AJ11" s="2134"/>
      <c r="AK11" s="2134"/>
      <c r="AL11" s="2044"/>
      <c r="AM11" s="2044"/>
      <c r="AN11" s="2044"/>
      <c r="AO11" s="2045"/>
      <c r="AP11" s="2133"/>
      <c r="AQ11" s="2134"/>
      <c r="AR11" s="2134"/>
      <c r="AS11" s="2134"/>
      <c r="AT11" s="2134"/>
      <c r="AU11" s="2134"/>
      <c r="AV11" s="2044"/>
      <c r="AW11" s="2044"/>
      <c r="AX11" s="2044"/>
      <c r="AY11" s="2045"/>
    </row>
    <row r="12" spans="1:59" ht="35.25" customHeight="1" x14ac:dyDescent="0.25">
      <c r="A12" s="1161" t="s">
        <v>7</v>
      </c>
      <c r="B12" s="808" t="s">
        <v>569</v>
      </c>
      <c r="C12" s="2155" t="s">
        <v>161</v>
      </c>
      <c r="D12" s="223" t="s">
        <v>570</v>
      </c>
      <c r="E12" s="1904" t="s">
        <v>1287</v>
      </c>
      <c r="F12" s="95" t="s">
        <v>571</v>
      </c>
      <c r="G12" s="2142" t="s">
        <v>1272</v>
      </c>
      <c r="H12" s="223" t="s">
        <v>572</v>
      </c>
      <c r="I12" s="1811" t="s">
        <v>1286</v>
      </c>
      <c r="J12" s="2206"/>
      <c r="K12" s="2207"/>
      <c r="L12" s="2131" t="s">
        <v>78</v>
      </c>
      <c r="M12" s="2132"/>
      <c r="N12" s="2132"/>
      <c r="O12" s="2132"/>
      <c r="P12" s="2132"/>
      <c r="Q12" s="2132"/>
      <c r="R12" s="2136" t="s">
        <v>147</v>
      </c>
      <c r="S12" s="2136"/>
      <c r="T12" s="2136"/>
      <c r="U12" s="2137"/>
      <c r="V12" s="2131" t="s">
        <v>78</v>
      </c>
      <c r="W12" s="2132"/>
      <c r="X12" s="2132"/>
      <c r="Y12" s="2132"/>
      <c r="Z12" s="2132"/>
      <c r="AA12" s="2132"/>
      <c r="AB12" s="2136" t="s">
        <v>147</v>
      </c>
      <c r="AC12" s="2136"/>
      <c r="AD12" s="2136"/>
      <c r="AE12" s="2137"/>
      <c r="AF12" s="2131" t="s">
        <v>23</v>
      </c>
      <c r="AG12" s="2132"/>
      <c r="AH12" s="2132"/>
      <c r="AI12" s="2132"/>
      <c r="AJ12" s="2132"/>
      <c r="AK12" s="2132"/>
      <c r="AL12" s="2136" t="s">
        <v>147</v>
      </c>
      <c r="AM12" s="2136"/>
      <c r="AN12" s="2136"/>
      <c r="AO12" s="2137"/>
      <c r="AP12" s="2131" t="s">
        <v>13</v>
      </c>
      <c r="AQ12" s="2132"/>
      <c r="AR12" s="2132"/>
      <c r="AS12" s="2132"/>
      <c r="AT12" s="2132"/>
      <c r="AU12" s="2132"/>
      <c r="AV12" s="2136" t="s">
        <v>147</v>
      </c>
      <c r="AW12" s="2136"/>
      <c r="AX12" s="2136"/>
      <c r="AY12" s="2137"/>
    </row>
    <row r="13" spans="1:59" ht="35.25" customHeight="1" thickBot="1" x14ac:dyDescent="0.3">
      <c r="A13" s="1161"/>
      <c r="B13" s="2219" t="s">
        <v>23</v>
      </c>
      <c r="C13" s="2156"/>
      <c r="D13" s="1797" t="s">
        <v>1308</v>
      </c>
      <c r="E13" s="1811"/>
      <c r="F13" s="2141" t="s">
        <v>13</v>
      </c>
      <c r="G13" s="2125"/>
      <c r="H13" s="1797" t="s">
        <v>1308</v>
      </c>
      <c r="I13" s="1811"/>
      <c r="J13" s="1968"/>
      <c r="K13" s="2208"/>
      <c r="L13" s="2133"/>
      <c r="M13" s="2134"/>
      <c r="N13" s="2134"/>
      <c r="O13" s="2134"/>
      <c r="P13" s="2134"/>
      <c r="Q13" s="2134"/>
      <c r="R13" s="2044"/>
      <c r="S13" s="2044"/>
      <c r="T13" s="2044"/>
      <c r="U13" s="2045"/>
      <c r="V13" s="2133"/>
      <c r="W13" s="2134"/>
      <c r="X13" s="2134"/>
      <c r="Y13" s="2134"/>
      <c r="Z13" s="2134"/>
      <c r="AA13" s="2134"/>
      <c r="AB13" s="2044"/>
      <c r="AC13" s="2044"/>
      <c r="AD13" s="2044"/>
      <c r="AE13" s="2045"/>
      <c r="AF13" s="2133"/>
      <c r="AG13" s="2134"/>
      <c r="AH13" s="2134"/>
      <c r="AI13" s="2134"/>
      <c r="AJ13" s="2134"/>
      <c r="AK13" s="2134"/>
      <c r="AL13" s="2044"/>
      <c r="AM13" s="2044"/>
      <c r="AN13" s="2044"/>
      <c r="AO13" s="2045"/>
      <c r="AP13" s="2133"/>
      <c r="AQ13" s="2134"/>
      <c r="AR13" s="2134"/>
      <c r="AS13" s="2134"/>
      <c r="AT13" s="2134"/>
      <c r="AU13" s="2134"/>
      <c r="AV13" s="2044"/>
      <c r="AW13" s="2044"/>
      <c r="AX13" s="2044"/>
      <c r="AY13" s="2045"/>
      <c r="BG13" s="20"/>
    </row>
    <row r="14" spans="1:59" ht="33.75" customHeight="1" x14ac:dyDescent="0.25">
      <c r="A14" s="1161" t="s">
        <v>8</v>
      </c>
      <c r="B14" s="2219"/>
      <c r="C14" s="2156"/>
      <c r="D14" s="1797"/>
      <c r="E14" s="1811"/>
      <c r="F14" s="2141"/>
      <c r="G14" s="2125"/>
      <c r="H14" s="1797"/>
      <c r="I14" s="1811"/>
      <c r="J14" s="1968"/>
      <c r="K14" s="2208"/>
      <c r="L14" s="2131" t="s">
        <v>1308</v>
      </c>
      <c r="M14" s="2132"/>
      <c r="N14" s="2132"/>
      <c r="O14" s="2132"/>
      <c r="P14" s="2132"/>
      <c r="Q14" s="2132"/>
      <c r="R14" s="2136" t="s">
        <v>147</v>
      </c>
      <c r="S14" s="2136"/>
      <c r="T14" s="2136"/>
      <c r="U14" s="2137"/>
      <c r="V14" s="688"/>
      <c r="W14" s="689"/>
      <c r="X14" s="689"/>
      <c r="Y14" s="689"/>
      <c r="Z14" s="78"/>
      <c r="AA14" s="2130"/>
      <c r="AB14" s="689"/>
      <c r="AC14" s="689"/>
      <c r="AD14" s="809" t="s">
        <v>1145</v>
      </c>
      <c r="AE14" s="2205" t="s">
        <v>659</v>
      </c>
      <c r="AF14" s="676"/>
      <c r="AG14" s="677"/>
      <c r="AH14" s="677"/>
      <c r="AI14" s="677"/>
      <c r="AJ14" s="677"/>
      <c r="AK14" s="677"/>
      <c r="AL14" s="78"/>
      <c r="AM14" s="2127"/>
      <c r="AN14" s="678"/>
      <c r="AO14" s="679"/>
      <c r="AP14" s="1125"/>
      <c r="AQ14" s="1126"/>
      <c r="AR14" s="1126"/>
      <c r="AS14" s="1126"/>
      <c r="AT14" s="1126"/>
      <c r="AU14" s="1126"/>
      <c r="AV14" s="1126"/>
      <c r="AW14" s="1126"/>
      <c r="AX14" s="1126"/>
      <c r="AY14" s="1127"/>
      <c r="BG14" s="20"/>
    </row>
    <row r="15" spans="1:59" ht="34.200000000000003" customHeight="1" thickBot="1" x14ac:dyDescent="0.3">
      <c r="A15" s="1161"/>
      <c r="B15" s="2220"/>
      <c r="C15" s="2156"/>
      <c r="D15" s="1797"/>
      <c r="E15" s="1811"/>
      <c r="F15" s="2141"/>
      <c r="G15" s="2173"/>
      <c r="H15" s="1797"/>
      <c r="I15" s="1811"/>
      <c r="J15" s="1968"/>
      <c r="K15" s="2208"/>
      <c r="L15" s="2133"/>
      <c r="M15" s="2134"/>
      <c r="N15" s="2134"/>
      <c r="O15" s="2134"/>
      <c r="P15" s="2134"/>
      <c r="Q15" s="2134"/>
      <c r="R15" s="2044"/>
      <c r="S15" s="2044"/>
      <c r="T15" s="2044"/>
      <c r="U15" s="2045"/>
      <c r="V15" s="686"/>
      <c r="W15" s="687"/>
      <c r="X15" s="687"/>
      <c r="Y15" s="687"/>
      <c r="Z15" s="2122"/>
      <c r="AA15" s="2127"/>
      <c r="AB15" s="687"/>
      <c r="AC15" s="687"/>
      <c r="AD15" s="2166" t="s">
        <v>78</v>
      </c>
      <c r="AE15" s="1961"/>
      <c r="AF15" s="680"/>
      <c r="AG15" s="681"/>
      <c r="AH15" s="681"/>
      <c r="AI15" s="681"/>
      <c r="AJ15" s="681"/>
      <c r="AK15" s="720"/>
      <c r="AL15" s="2177"/>
      <c r="AM15" s="2127"/>
      <c r="AN15" s="682"/>
      <c r="AO15" s="683"/>
      <c r="AP15" s="1280"/>
      <c r="AQ15" s="1281"/>
      <c r="AR15" s="1281"/>
      <c r="AS15" s="1281"/>
      <c r="AT15" s="1281"/>
      <c r="AU15" s="1281"/>
      <c r="AV15" s="1281"/>
      <c r="AW15" s="1281"/>
      <c r="AX15" s="1281"/>
      <c r="AY15" s="2172"/>
    </row>
    <row r="16" spans="1:59" ht="31.5" customHeight="1" x14ac:dyDescent="0.3">
      <c r="A16" s="1161" t="s">
        <v>9</v>
      </c>
      <c r="B16" s="805"/>
      <c r="C16" s="608"/>
      <c r="D16" s="1797"/>
      <c r="E16" s="1811"/>
      <c r="F16" s="609"/>
      <c r="G16" s="608"/>
      <c r="H16" s="1797"/>
      <c r="I16" s="1811"/>
      <c r="J16" s="1968"/>
      <c r="K16" s="2208"/>
      <c r="L16" s="2227"/>
      <c r="M16" s="2228"/>
      <c r="N16" s="2228"/>
      <c r="O16" s="2228"/>
      <c r="P16" s="2228"/>
      <c r="Q16" s="2228"/>
      <c r="R16" s="2232"/>
      <c r="S16" s="2232"/>
      <c r="T16" s="2232"/>
      <c r="U16" s="2233"/>
      <c r="V16" s="684"/>
      <c r="W16" s="685"/>
      <c r="X16" s="685"/>
      <c r="Y16" s="685"/>
      <c r="Z16" s="2122"/>
      <c r="AA16" s="2127"/>
      <c r="AB16" s="685"/>
      <c r="AC16" s="685"/>
      <c r="AD16" s="2166"/>
      <c r="AE16" s="1961"/>
      <c r="AF16" s="676"/>
      <c r="AG16" s="677"/>
      <c r="AH16" s="677"/>
      <c r="AI16" s="677"/>
      <c r="AJ16" s="677"/>
      <c r="AK16" s="721"/>
      <c r="AL16" s="2177"/>
      <c r="AM16" s="2127"/>
      <c r="AN16" s="678"/>
      <c r="AO16" s="679"/>
      <c r="AP16" s="96"/>
      <c r="AQ16" s="84"/>
      <c r="AR16" s="84"/>
      <c r="AS16" s="84"/>
      <c r="AT16" s="84"/>
      <c r="AU16" s="84"/>
      <c r="AV16" s="84"/>
      <c r="AW16" s="84"/>
      <c r="AX16" s="84"/>
      <c r="AY16" s="85"/>
    </row>
    <row r="17" spans="1:59" ht="38.4" customHeight="1" thickBot="1" x14ac:dyDescent="0.35">
      <c r="A17" s="1238"/>
      <c r="B17" s="805"/>
      <c r="C17" s="483"/>
      <c r="D17" s="2001"/>
      <c r="E17" s="1812"/>
      <c r="F17" s="229"/>
      <c r="G17" s="483"/>
      <c r="H17" s="2001"/>
      <c r="I17" s="1812"/>
      <c r="J17" s="1969"/>
      <c r="K17" s="2209"/>
      <c r="L17" s="2229"/>
      <c r="M17" s="2230"/>
      <c r="N17" s="2230"/>
      <c r="O17" s="2230"/>
      <c r="P17" s="2230"/>
      <c r="Q17" s="2230"/>
      <c r="R17" s="1260"/>
      <c r="S17" s="1260"/>
      <c r="T17" s="1260"/>
      <c r="U17" s="1261"/>
      <c r="V17" s="686"/>
      <c r="W17" s="687"/>
      <c r="X17" s="687"/>
      <c r="Y17" s="687"/>
      <c r="Z17" s="2176"/>
      <c r="AA17" s="2127"/>
      <c r="AB17" s="687"/>
      <c r="AC17" s="687"/>
      <c r="AD17" s="2166"/>
      <c r="AE17" s="1961"/>
      <c r="AF17" s="680"/>
      <c r="AG17" s="681"/>
      <c r="AH17" s="681"/>
      <c r="AI17" s="681"/>
      <c r="AJ17" s="681"/>
      <c r="AK17" s="720"/>
      <c r="AL17" s="2178"/>
      <c r="AM17" s="2152"/>
      <c r="AN17" s="682"/>
      <c r="AO17" s="683"/>
      <c r="AP17" s="667"/>
      <c r="AQ17" s="668"/>
      <c r="AR17" s="668"/>
      <c r="AS17" s="668"/>
      <c r="AT17" s="668"/>
      <c r="AU17" s="668"/>
      <c r="AV17" s="668"/>
      <c r="AW17" s="668"/>
      <c r="AX17" s="668"/>
      <c r="AY17" s="669"/>
    </row>
    <row r="18" spans="1:59" s="2" customFormat="1" ht="24.75" customHeight="1" thickBot="1" x14ac:dyDescent="0.3">
      <c r="A18" s="24" t="s">
        <v>1</v>
      </c>
      <c r="B18" s="975" t="s">
        <v>2</v>
      </c>
      <c r="C18" s="976"/>
      <c r="D18" s="976"/>
      <c r="E18" s="976"/>
      <c r="F18" s="976"/>
      <c r="G18" s="976"/>
      <c r="H18" s="976"/>
      <c r="I18" s="976"/>
      <c r="J18" s="976"/>
      <c r="K18" s="977"/>
      <c r="L18" s="975" t="s">
        <v>3</v>
      </c>
      <c r="M18" s="976"/>
      <c r="N18" s="976"/>
      <c r="O18" s="976"/>
      <c r="P18" s="976"/>
      <c r="Q18" s="976"/>
      <c r="R18" s="976"/>
      <c r="S18" s="976"/>
      <c r="T18" s="976"/>
      <c r="U18" s="977"/>
      <c r="V18" s="975" t="s">
        <v>135</v>
      </c>
      <c r="W18" s="976"/>
      <c r="X18" s="976"/>
      <c r="Y18" s="976"/>
      <c r="Z18" s="976"/>
      <c r="AA18" s="976"/>
      <c r="AB18" s="976"/>
      <c r="AC18" s="976"/>
      <c r="AD18" s="976"/>
      <c r="AE18" s="977"/>
      <c r="AF18" s="975" t="s">
        <v>4</v>
      </c>
      <c r="AG18" s="976"/>
      <c r="AH18" s="976"/>
      <c r="AI18" s="976"/>
      <c r="AJ18" s="976"/>
      <c r="AK18" s="976"/>
      <c r="AL18" s="976"/>
      <c r="AM18" s="976"/>
      <c r="AN18" s="976"/>
      <c r="AO18" s="977"/>
      <c r="AP18" s="975" t="s">
        <v>5</v>
      </c>
      <c r="AQ18" s="976"/>
      <c r="AR18" s="976"/>
      <c r="AS18" s="976"/>
      <c r="AT18" s="976"/>
      <c r="AU18" s="976"/>
      <c r="AV18" s="976"/>
      <c r="AW18" s="976"/>
      <c r="AX18" s="976"/>
      <c r="AY18" s="977"/>
    </row>
    <row r="19" spans="1:59" ht="33.75" customHeight="1" x14ac:dyDescent="0.25">
      <c r="A19" s="1161" t="s">
        <v>183</v>
      </c>
      <c r="B19" s="805"/>
      <c r="C19" s="806"/>
      <c r="D19" s="171"/>
      <c r="E19" s="806"/>
      <c r="F19" s="587"/>
      <c r="G19" s="806"/>
      <c r="H19" s="69"/>
      <c r="I19" s="806"/>
      <c r="J19" s="812"/>
      <c r="K19" s="802"/>
      <c r="L19" s="587"/>
      <c r="M19" s="806"/>
      <c r="N19" s="587"/>
      <c r="O19" s="806"/>
      <c r="P19" s="587"/>
      <c r="Q19" s="806"/>
      <c r="R19" s="241"/>
      <c r="S19" s="810"/>
      <c r="T19" s="820" t="s">
        <v>1145</v>
      </c>
      <c r="U19" s="2234" t="s">
        <v>144</v>
      </c>
      <c r="V19" s="821" t="s">
        <v>569</v>
      </c>
      <c r="W19" s="2142" t="s">
        <v>1289</v>
      </c>
      <c r="X19" s="587"/>
      <c r="Y19" s="806"/>
      <c r="AB19" s="69"/>
      <c r="AC19" s="806"/>
      <c r="AD19" s="813"/>
      <c r="AE19" s="811"/>
      <c r="AF19" s="805"/>
      <c r="AG19" s="806"/>
      <c r="AH19" s="587"/>
      <c r="AI19" s="806"/>
      <c r="AJ19" s="587"/>
      <c r="AK19" s="806"/>
      <c r="AL19" s="819" t="s">
        <v>572</v>
      </c>
      <c r="AM19" s="2142" t="s">
        <v>144</v>
      </c>
      <c r="AN19" s="587"/>
      <c r="AO19" s="664"/>
      <c r="AP19" s="587"/>
      <c r="AQ19" s="806"/>
      <c r="AR19" s="69"/>
      <c r="AS19" s="806"/>
      <c r="AT19" s="69"/>
      <c r="AU19" s="806"/>
      <c r="AV19" s="587"/>
      <c r="AW19" s="806"/>
      <c r="AX19" s="813"/>
      <c r="AY19" s="811"/>
      <c r="AZ19" s="33"/>
      <c r="BA19" s="1963"/>
      <c r="BB19" s="1955"/>
    </row>
    <row r="20" spans="1:59" ht="33.75" customHeight="1" x14ac:dyDescent="0.25">
      <c r="A20" s="1161"/>
      <c r="B20" s="805"/>
      <c r="C20" s="806"/>
      <c r="D20" s="587"/>
      <c r="E20" s="806"/>
      <c r="F20" s="587"/>
      <c r="G20" s="806"/>
      <c r="H20" s="587"/>
      <c r="I20" s="806"/>
      <c r="J20" s="812"/>
      <c r="K20" s="802"/>
      <c r="L20" s="587"/>
      <c r="M20" s="806"/>
      <c r="N20" s="587"/>
      <c r="O20" s="806"/>
      <c r="P20" s="587"/>
      <c r="Q20" s="806"/>
      <c r="R20" s="241"/>
      <c r="S20" s="810"/>
      <c r="T20" s="2166" t="s">
        <v>13</v>
      </c>
      <c r="U20" s="2156"/>
      <c r="V20" s="2219" t="s">
        <v>13</v>
      </c>
      <c r="W20" s="2125"/>
      <c r="X20" s="587"/>
      <c r="Y20" s="806"/>
      <c r="AB20" s="69"/>
      <c r="AC20" s="806"/>
      <c r="AD20" s="813"/>
      <c r="AE20" s="807"/>
      <c r="AF20" s="587"/>
      <c r="AG20" s="806"/>
      <c r="AH20" s="587"/>
      <c r="AI20" s="806"/>
      <c r="AJ20" s="587"/>
      <c r="AK20" s="806"/>
      <c r="AL20" s="2174" t="s">
        <v>12</v>
      </c>
      <c r="AM20" s="2125"/>
      <c r="AN20" s="587"/>
      <c r="AO20" s="806"/>
      <c r="AP20" s="805"/>
      <c r="AQ20" s="806"/>
      <c r="AR20" s="69"/>
      <c r="AS20" s="806"/>
      <c r="AT20" s="69"/>
      <c r="AU20" s="806"/>
      <c r="AV20" s="587"/>
      <c r="AW20" s="806"/>
      <c r="AX20" s="813"/>
      <c r="AY20" s="807"/>
      <c r="BA20" s="1963"/>
      <c r="BB20" s="1955"/>
    </row>
    <row r="21" spans="1:59" ht="35.25" customHeight="1" x14ac:dyDescent="0.25">
      <c r="A21" s="1161" t="s">
        <v>182</v>
      </c>
      <c r="B21" s="805"/>
      <c r="C21" s="806"/>
      <c r="D21" s="820" t="s">
        <v>570</v>
      </c>
      <c r="E21" s="2138" t="s">
        <v>144</v>
      </c>
      <c r="F21" s="587"/>
      <c r="G21" s="806"/>
      <c r="H21" s="587"/>
      <c r="I21" s="806"/>
      <c r="J21" s="812"/>
      <c r="K21" s="802"/>
      <c r="L21" s="596"/>
      <c r="M21" s="596"/>
      <c r="N21" s="596"/>
      <c r="O21" s="596"/>
      <c r="P21" s="596"/>
      <c r="Q21" s="596"/>
      <c r="R21" s="79"/>
      <c r="S21" s="79"/>
      <c r="T21" s="2166"/>
      <c r="U21" s="2156"/>
      <c r="V21" s="2219"/>
      <c r="W21" s="2125"/>
      <c r="X21" s="596"/>
      <c r="Y21" s="596"/>
      <c r="AB21" s="79"/>
      <c r="AC21" s="79"/>
      <c r="AD21" s="79"/>
      <c r="AE21" s="409"/>
      <c r="AF21" s="596"/>
      <c r="AG21" s="596"/>
      <c r="AH21" s="596"/>
      <c r="AI21" s="596"/>
      <c r="AJ21" s="596"/>
      <c r="AK21" s="596"/>
      <c r="AL21" s="2174"/>
      <c r="AM21" s="2125"/>
      <c r="AN21" s="79"/>
      <c r="AO21" s="409"/>
      <c r="AP21" s="596"/>
      <c r="AQ21" s="596"/>
      <c r="AR21" s="596"/>
      <c r="AS21" s="596"/>
      <c r="AT21" s="596"/>
      <c r="AU21" s="596"/>
      <c r="AV21" s="79"/>
      <c r="AW21" s="79"/>
      <c r="AX21" s="79"/>
      <c r="AY21" s="409"/>
    </row>
    <row r="22" spans="1:59" ht="40.5" customHeight="1" x14ac:dyDescent="0.25">
      <c r="A22" s="1161"/>
      <c r="B22" s="805"/>
      <c r="C22" s="806"/>
      <c r="D22" s="2174" t="s">
        <v>12</v>
      </c>
      <c r="E22" s="2125"/>
      <c r="F22" s="587"/>
      <c r="G22" s="806"/>
      <c r="H22" s="587"/>
      <c r="I22" s="806"/>
      <c r="J22" s="812"/>
      <c r="K22" s="802"/>
      <c r="L22" s="596"/>
      <c r="M22" s="596"/>
      <c r="N22" s="596"/>
      <c r="O22" s="596"/>
      <c r="P22" s="596"/>
      <c r="Q22" s="596"/>
      <c r="R22" s="79"/>
      <c r="S22" s="79"/>
      <c r="T22" s="2238"/>
      <c r="U22" s="2235"/>
      <c r="V22" s="2219"/>
      <c r="W22" s="2173"/>
      <c r="X22" s="596"/>
      <c r="Y22" s="596"/>
      <c r="AA22" s="102"/>
      <c r="AB22" s="79"/>
      <c r="AC22" s="79"/>
      <c r="AD22" s="79"/>
      <c r="AE22" s="409"/>
      <c r="AF22" s="596"/>
      <c r="AG22" s="596"/>
      <c r="AH22" s="596"/>
      <c r="AI22" s="596"/>
      <c r="AJ22" s="596"/>
      <c r="AK22" s="596"/>
      <c r="AL22" s="2174"/>
      <c r="AM22" s="2173"/>
      <c r="AN22" s="79"/>
      <c r="AO22" s="409"/>
      <c r="AP22" s="596"/>
      <c r="AQ22" s="596"/>
      <c r="AR22" s="596"/>
      <c r="AS22" s="596"/>
      <c r="AT22" s="596"/>
      <c r="AU22" s="596"/>
      <c r="AV22" s="79"/>
      <c r="AW22" s="79"/>
      <c r="AX22" s="79"/>
      <c r="AY22" s="409"/>
    </row>
    <row r="23" spans="1:59" ht="35.25" customHeight="1" x14ac:dyDescent="0.25">
      <c r="A23" s="1161" t="s">
        <v>184</v>
      </c>
      <c r="B23" s="136"/>
      <c r="C23" s="2226"/>
      <c r="D23" s="2174"/>
      <c r="E23" s="2125"/>
      <c r="F23" s="69"/>
      <c r="G23" s="1910"/>
      <c r="H23" s="171"/>
      <c r="I23" s="814"/>
      <c r="J23" s="812"/>
      <c r="K23" s="802"/>
      <c r="L23" s="596"/>
      <c r="M23" s="596"/>
      <c r="N23" s="596"/>
      <c r="O23" s="596"/>
      <c r="P23" s="596"/>
      <c r="Q23" s="596"/>
      <c r="R23" s="79"/>
      <c r="S23" s="79"/>
      <c r="T23" s="79"/>
      <c r="U23" s="824"/>
      <c r="V23" s="822"/>
      <c r="W23" s="596"/>
      <c r="X23" s="596"/>
      <c r="Y23" s="596"/>
      <c r="Z23" s="820" t="s">
        <v>571</v>
      </c>
      <c r="AA23" s="2125"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161"/>
      <c r="B24" s="1933"/>
      <c r="C24" s="2226"/>
      <c r="D24" s="2175"/>
      <c r="E24" s="2173"/>
      <c r="F24" s="2177"/>
      <c r="G24" s="1910"/>
      <c r="H24" s="814"/>
      <c r="I24" s="814"/>
      <c r="J24" s="812"/>
      <c r="K24" s="802"/>
      <c r="L24" s="596"/>
      <c r="M24" s="596"/>
      <c r="N24" s="596"/>
      <c r="O24" s="596"/>
      <c r="P24" s="596"/>
      <c r="Q24" s="596"/>
      <c r="R24" s="79"/>
      <c r="S24" s="79"/>
      <c r="T24" s="79"/>
      <c r="U24" s="409"/>
      <c r="V24" s="596"/>
      <c r="W24" s="596"/>
      <c r="X24" s="596"/>
      <c r="Y24" s="596"/>
      <c r="Z24" s="2174" t="s">
        <v>12</v>
      </c>
      <c r="AA24" s="2125"/>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161" t="s">
        <v>185</v>
      </c>
      <c r="B25" s="1933"/>
      <c r="C25" s="2226"/>
      <c r="D25" s="10"/>
      <c r="E25" s="282"/>
      <c r="F25" s="2177"/>
      <c r="G25" s="1910"/>
      <c r="H25" s="10"/>
      <c r="I25" s="10"/>
      <c r="J25" s="812"/>
      <c r="K25" s="802"/>
      <c r="L25" s="596"/>
      <c r="M25" s="596"/>
      <c r="N25" s="596"/>
      <c r="O25" s="596"/>
      <c r="P25" s="596"/>
      <c r="Q25" s="596"/>
      <c r="R25" s="79"/>
      <c r="S25" s="79"/>
      <c r="T25" s="79"/>
      <c r="U25" s="409"/>
      <c r="V25" s="685"/>
      <c r="W25" s="685"/>
      <c r="X25" s="685"/>
      <c r="Y25" s="685"/>
      <c r="Z25" s="2174"/>
      <c r="AA25" s="2125"/>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161"/>
      <c r="B26" s="2225"/>
      <c r="C26" s="2226"/>
      <c r="D26" s="782"/>
      <c r="E26" s="782"/>
      <c r="F26" s="2178"/>
      <c r="G26" s="1911"/>
      <c r="H26" s="10"/>
      <c r="I26" s="10"/>
      <c r="J26" s="818"/>
      <c r="K26" s="802"/>
      <c r="L26" s="596"/>
      <c r="M26" s="671"/>
      <c r="N26" s="596"/>
      <c r="O26" s="596"/>
      <c r="P26" s="596"/>
      <c r="Q26" s="671"/>
      <c r="R26" s="79"/>
      <c r="S26" s="80"/>
      <c r="T26" s="79"/>
      <c r="U26" s="410"/>
      <c r="V26" s="687"/>
      <c r="W26" s="685"/>
      <c r="X26" s="685"/>
      <c r="Y26" s="685"/>
      <c r="Z26" s="2236"/>
      <c r="AA26" s="2125"/>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33" t="s">
        <v>214</v>
      </c>
      <c r="B27" s="935"/>
      <c r="C27" s="1033" t="s">
        <v>215</v>
      </c>
      <c r="D27" s="934"/>
      <c r="E27" s="934"/>
      <c r="F27" s="934"/>
      <c r="G27" s="934"/>
      <c r="H27" s="934"/>
      <c r="I27" s="934"/>
      <c r="J27" s="934"/>
      <c r="K27" s="934"/>
      <c r="L27" s="934"/>
      <c r="M27" s="934"/>
      <c r="N27" s="934"/>
      <c r="O27" s="1033" t="s">
        <v>292</v>
      </c>
      <c r="P27" s="934"/>
      <c r="Q27" s="934"/>
      <c r="R27" s="935"/>
      <c r="S27" s="1033" t="s">
        <v>139</v>
      </c>
      <c r="T27" s="935"/>
      <c r="U27" s="1787" t="s">
        <v>163</v>
      </c>
      <c r="V27" s="1788"/>
      <c r="W27" s="1788"/>
      <c r="X27" s="1788"/>
      <c r="Y27" s="1788"/>
      <c r="Z27" s="1788"/>
      <c r="AA27" s="1788"/>
      <c r="AB27" s="1788"/>
      <c r="AC27" s="1788"/>
      <c r="AD27" s="1788"/>
      <c r="AE27" s="1788"/>
      <c r="AF27" s="1788"/>
      <c r="AG27" s="1788"/>
      <c r="AH27" s="1788"/>
      <c r="AI27" s="1788"/>
      <c r="AJ27" s="1788"/>
      <c r="AK27" s="1788"/>
      <c r="AL27" s="1788"/>
      <c r="AM27" s="1788"/>
      <c r="AN27" s="1788"/>
      <c r="AO27" s="1789"/>
      <c r="AQ27" s="1866" t="s">
        <v>1012</v>
      </c>
      <c r="AR27" s="1867"/>
      <c r="AS27" s="1867"/>
      <c r="AT27" s="1868"/>
      <c r="AU27" s="68"/>
      <c r="AV27" s="1872"/>
      <c r="AW27" s="1872"/>
      <c r="AX27" s="1872"/>
      <c r="AY27" s="1872"/>
    </row>
    <row r="28" spans="1:59" ht="15" x14ac:dyDescent="0.25">
      <c r="A28" s="2217" t="str">
        <f>VLOOKUP(O28,[2]ASIGNATURAS!$F$1:$L$1022, 3, FALSE)</f>
        <v>CÁLCULO</v>
      </c>
      <c r="B28" s="2218"/>
      <c r="C28" s="1818" t="str">
        <f>VLOOKUP(O28,[2]ASIGNATURAS!$F$1:$L$1022, 4, FALSE)</f>
        <v>Cálculo</v>
      </c>
      <c r="D28" s="1818"/>
      <c r="E28" s="1818"/>
      <c r="F28" s="1818"/>
      <c r="G28" s="1818"/>
      <c r="H28" s="1818"/>
      <c r="I28" s="1818"/>
      <c r="J28" s="1818"/>
      <c r="K28" s="1818"/>
      <c r="L28" s="1818"/>
      <c r="M28" s="1818"/>
      <c r="N28" s="1818"/>
      <c r="O28" s="1819">
        <v>6302</v>
      </c>
      <c r="P28" s="1819"/>
      <c r="Q28" s="1819"/>
      <c r="R28" s="1819"/>
      <c r="S28" s="1819">
        <f>VLOOKUP(O28,[2]ASIGNATURAS!$F$1:$L$1022, 5, FALSE)</f>
        <v>6</v>
      </c>
      <c r="T28" s="1819"/>
      <c r="U28" s="1857" t="str">
        <f>VLOOKUP(O28,[2]ASIGNATURAS!$F$1:$L$1022, 6, FALSE)</f>
        <v>Ana García</v>
      </c>
      <c r="V28" s="1858"/>
      <c r="W28" s="1858"/>
      <c r="X28" s="1858"/>
      <c r="Y28" s="1858"/>
      <c r="Z28" s="1858"/>
      <c r="AA28" s="1858"/>
      <c r="AB28" s="1858"/>
      <c r="AC28" s="1858"/>
      <c r="AD28" s="1858"/>
      <c r="AE28" s="1858"/>
      <c r="AF28" s="1858"/>
      <c r="AG28" s="1858"/>
      <c r="AH28" s="1858"/>
      <c r="AI28" s="1858"/>
      <c r="AJ28" s="1858"/>
      <c r="AK28" s="1858"/>
      <c r="AL28" s="1858"/>
      <c r="AM28" s="1858"/>
      <c r="AN28" s="1858"/>
      <c r="AO28" s="1859"/>
      <c r="AQ28" s="1869"/>
      <c r="AR28" s="1870"/>
      <c r="AS28" s="1870"/>
      <c r="AT28" s="1871"/>
      <c r="AV28" s="1873"/>
      <c r="AW28" s="1873"/>
      <c r="AX28" s="1873"/>
      <c r="AY28" s="1873"/>
    </row>
    <row r="29" spans="1:59" ht="15" x14ac:dyDescent="0.25">
      <c r="A29" s="1848" t="str">
        <f>VLOOKUP(O29,[2]ASIGNATURAS!$F$1:$L$1022, 3, FALSE)</f>
        <v>ÁLGEBRA</v>
      </c>
      <c r="B29" s="2151"/>
      <c r="C29" s="1795" t="str">
        <f>VLOOKUP(O29,[2]ASIGNATURAS!$F$1:$L$1022, 4, FALSE)</f>
        <v>Álgebra y Ecuaciones Diferenciales</v>
      </c>
      <c r="D29" s="1795"/>
      <c r="E29" s="1795"/>
      <c r="F29" s="1795"/>
      <c r="G29" s="1795"/>
      <c r="H29" s="1795"/>
      <c r="I29" s="1795"/>
      <c r="J29" s="1795"/>
      <c r="K29" s="1795"/>
      <c r="L29" s="1795"/>
      <c r="M29" s="1795"/>
      <c r="N29" s="1795"/>
      <c r="O29" s="1765">
        <v>6303</v>
      </c>
      <c r="P29" s="1765"/>
      <c r="Q29" s="1765"/>
      <c r="R29" s="1765"/>
      <c r="S29" s="1765">
        <f>VLOOKUP(O29,[2]ASIGNATURAS!$F$1:$L$1022, 5, FALSE)</f>
        <v>6</v>
      </c>
      <c r="T29" s="1765"/>
      <c r="U29" s="1770" t="str">
        <f>VLOOKUP(O29,[2]ASIGNATURAS!$F$1:$L$1022, 6, FALSE)</f>
        <v>José Javier Relancio</v>
      </c>
      <c r="V29" s="1771"/>
      <c r="W29" s="1771"/>
      <c r="X29" s="1771"/>
      <c r="Y29" s="1771"/>
      <c r="Z29" s="1771"/>
      <c r="AA29" s="1771"/>
      <c r="AB29" s="1771"/>
      <c r="AC29" s="1771"/>
      <c r="AD29" s="1771"/>
      <c r="AE29" s="1771"/>
      <c r="AF29" s="1771"/>
      <c r="AG29" s="1771"/>
      <c r="AH29" s="1771"/>
      <c r="AI29" s="1771"/>
      <c r="AJ29" s="1771"/>
      <c r="AK29" s="1771"/>
      <c r="AL29" s="1771"/>
      <c r="AM29" s="1771"/>
      <c r="AN29" s="1771"/>
      <c r="AO29" s="1772"/>
      <c r="AQ29" s="1784" t="s">
        <v>1008</v>
      </c>
      <c r="AR29" s="1785"/>
      <c r="AS29" s="1785"/>
      <c r="AT29" s="1786"/>
      <c r="AV29" s="2070"/>
      <c r="AW29" s="2070"/>
      <c r="AX29" s="2070"/>
      <c r="AY29" s="2070"/>
    </row>
    <row r="30" spans="1:59" ht="15" x14ac:dyDescent="0.25">
      <c r="A30" s="1848" t="str">
        <f>VLOOKUP(O30,[2]ASIGNATURAS!$F$1:$L$1022, 3, FALSE)</f>
        <v>FÍSICA I</v>
      </c>
      <c r="B30" s="2151"/>
      <c r="C30" s="1795" t="str">
        <f>VLOOKUP(O30,[2]ASIGNATURAS!$F$1:$L$1022, 4, FALSE)</f>
        <v>Física I</v>
      </c>
      <c r="D30" s="1795"/>
      <c r="E30" s="1795"/>
      <c r="F30" s="1795"/>
      <c r="G30" s="1795"/>
      <c r="H30" s="1795"/>
      <c r="I30" s="1795"/>
      <c r="J30" s="1795"/>
      <c r="K30" s="1795"/>
      <c r="L30" s="1795"/>
      <c r="M30" s="1795"/>
      <c r="N30" s="1795"/>
      <c r="O30" s="1765">
        <v>6304</v>
      </c>
      <c r="P30" s="1765"/>
      <c r="Q30" s="1765"/>
      <c r="R30" s="1765"/>
      <c r="S30" s="1765">
        <f>VLOOKUP(O30,[2]ASIGNATURAS!$F$1:$L$1022, 5, FALSE)</f>
        <v>6</v>
      </c>
      <c r="T30" s="1765"/>
      <c r="U30" s="1770" t="str">
        <f>VLOOKUP(O30,[2]ASIGNATURAS!$F$1:$L$1022, 6, FALSE)</f>
        <v>Juan José Villalaín, Alfonso Blasco, María del Mar Chichón</v>
      </c>
      <c r="V30" s="1771"/>
      <c r="W30" s="1771"/>
      <c r="X30" s="1771"/>
      <c r="Y30" s="1771"/>
      <c r="Z30" s="1771"/>
      <c r="AA30" s="1771"/>
      <c r="AB30" s="1771"/>
      <c r="AC30" s="1771"/>
      <c r="AD30" s="1771"/>
      <c r="AE30" s="1771"/>
      <c r="AF30" s="1771"/>
      <c r="AG30" s="1771"/>
      <c r="AH30" s="1771"/>
      <c r="AI30" s="1771"/>
      <c r="AJ30" s="1771"/>
      <c r="AK30" s="1771"/>
      <c r="AL30" s="1771"/>
      <c r="AM30" s="1771"/>
      <c r="AN30" s="1771"/>
      <c r="AO30" s="1772"/>
      <c r="AQ30" s="1779" t="s">
        <v>569</v>
      </c>
      <c r="AR30" s="1780"/>
      <c r="AS30" s="1780"/>
      <c r="AT30" s="1781"/>
      <c r="AV30" s="1874"/>
      <c r="AW30" s="1874"/>
      <c r="AX30" s="1874"/>
      <c r="AY30" s="1874"/>
    </row>
    <row r="31" spans="1:59" ht="15" x14ac:dyDescent="0.25">
      <c r="A31" s="1848" t="str">
        <f>VLOOKUP(O31,[2]ASIGNATURAS!$F$1:$L$1022, 3, FALSE)</f>
        <v>QUÍMICA</v>
      </c>
      <c r="B31" s="2151"/>
      <c r="C31" s="1795" t="str">
        <f>VLOOKUP(O31,[2]ASIGNATURAS!$F$1:$L$1022, 4, FALSE)</f>
        <v>Química</v>
      </c>
      <c r="D31" s="1795"/>
      <c r="E31" s="1795"/>
      <c r="F31" s="1795"/>
      <c r="G31" s="1795"/>
      <c r="H31" s="1795"/>
      <c r="I31" s="1795"/>
      <c r="J31" s="1795"/>
      <c r="K31" s="1795"/>
      <c r="L31" s="1795"/>
      <c r="M31" s="1795"/>
      <c r="N31" s="1795"/>
      <c r="O31" s="1765">
        <v>6305</v>
      </c>
      <c r="P31" s="1765"/>
      <c r="Q31" s="1765"/>
      <c r="R31" s="1765"/>
      <c r="S31" s="1765">
        <f>VLOOKUP(O31,[2]ASIGNATURAS!$F$1:$L$1022, 5, FALSE)</f>
        <v>6</v>
      </c>
      <c r="T31" s="1765"/>
      <c r="U31" s="1770" t="str">
        <f>VLOOKUP(O31,[2]ASIGNATURAS!$F$1:$L$1022, 6, FALSE)</f>
        <v>Fco. Javier Rodríguez</v>
      </c>
      <c r="V31" s="1771"/>
      <c r="W31" s="1771"/>
      <c r="X31" s="1771"/>
      <c r="Y31" s="1771"/>
      <c r="Z31" s="1771"/>
      <c r="AA31" s="1771"/>
      <c r="AB31" s="1771"/>
      <c r="AC31" s="1771"/>
      <c r="AD31" s="1771"/>
      <c r="AE31" s="1771"/>
      <c r="AF31" s="1771"/>
      <c r="AG31" s="1771"/>
      <c r="AH31" s="1771"/>
      <c r="AI31" s="1771"/>
      <c r="AJ31" s="1771"/>
      <c r="AK31" s="1771"/>
      <c r="AL31" s="1771"/>
      <c r="AM31" s="1771"/>
      <c r="AN31" s="1771"/>
      <c r="AO31" s="1772"/>
      <c r="AQ31" s="1779" t="s">
        <v>570</v>
      </c>
      <c r="AR31" s="1780"/>
      <c r="AS31" s="1780"/>
      <c r="AT31" s="1781"/>
      <c r="AV31" s="1874"/>
      <c r="AW31" s="1874"/>
      <c r="AX31" s="1874"/>
      <c r="AY31" s="1874"/>
    </row>
    <row r="32" spans="1:59" ht="15.6" thickBot="1" x14ac:dyDescent="0.3">
      <c r="A32" s="1782" t="str">
        <f>VLOOKUP(O32,[2]ASIGNATURAS!$F$1:$L$1022, 3, FALSE)</f>
        <v>EXP. GRÁFICA I</v>
      </c>
      <c r="B32" s="2239"/>
      <c r="C32" s="1831" t="str">
        <f>VLOOKUP(O32,[2]ASIGNATURAS!$F$1:$L$1022, 4, FALSE)</f>
        <v>Expresión Gráfica I</v>
      </c>
      <c r="D32" s="1831"/>
      <c r="E32" s="1831"/>
      <c r="F32" s="1831"/>
      <c r="G32" s="1831"/>
      <c r="H32" s="1831"/>
      <c r="I32" s="1831"/>
      <c r="J32" s="1831"/>
      <c r="K32" s="1831"/>
      <c r="L32" s="1831"/>
      <c r="M32" s="1831"/>
      <c r="N32" s="1831"/>
      <c r="O32" s="1766">
        <v>6306</v>
      </c>
      <c r="P32" s="1766"/>
      <c r="Q32" s="1766"/>
      <c r="R32" s="1766"/>
      <c r="S32" s="1766">
        <f>VLOOKUP(O32,[2]ASIGNATURAS!$F$1:$L$1022, 5, FALSE)</f>
        <v>6</v>
      </c>
      <c r="T32" s="1766"/>
      <c r="U32" s="1833" t="str">
        <f>VLOOKUP(O32,[2]ASIGNATURAS!$F$1:$L$1022, 6, FALSE)</f>
        <v>Arturo de Román , Elías Martínez</v>
      </c>
      <c r="V32" s="1834"/>
      <c r="W32" s="1834"/>
      <c r="X32" s="1834"/>
      <c r="Y32" s="1834"/>
      <c r="Z32" s="1834"/>
      <c r="AA32" s="1834"/>
      <c r="AB32" s="1834"/>
      <c r="AC32" s="1834"/>
      <c r="AD32" s="1834"/>
      <c r="AE32" s="1834"/>
      <c r="AF32" s="1834"/>
      <c r="AG32" s="1834"/>
      <c r="AH32" s="1834"/>
      <c r="AI32" s="1834"/>
      <c r="AJ32" s="1834"/>
      <c r="AK32" s="1834"/>
      <c r="AL32" s="1834"/>
      <c r="AM32" s="1834"/>
      <c r="AN32" s="1834"/>
      <c r="AO32" s="1835"/>
      <c r="AQ32" s="1779" t="s">
        <v>1207</v>
      </c>
      <c r="AR32" s="1780"/>
      <c r="AS32" s="1780"/>
      <c r="AT32" s="1781"/>
      <c r="AV32" s="1874"/>
      <c r="AW32" s="1874"/>
      <c r="AX32" s="1874"/>
      <c r="AY32" s="1874"/>
    </row>
    <row r="33" spans="1:108" ht="15" customHeight="1" thickBot="1" x14ac:dyDescent="0.3">
      <c r="A33" s="104" t="s">
        <v>213</v>
      </c>
    </row>
    <row r="34" spans="1:108" s="1" customFormat="1" ht="31.5" customHeight="1" thickBot="1" x14ac:dyDescent="0.45">
      <c r="A34" s="2113" t="str">
        <f>VLOOKUP(A37,ASIGNATURAS!$A$2:$D$151, 3, FALSE)</f>
        <v>1º Grado en Ingeniería Mecánica</v>
      </c>
      <c r="B34" s="2114"/>
      <c r="C34" s="2114"/>
      <c r="D34" s="2114"/>
      <c r="E34" s="2114"/>
      <c r="F34" s="2114"/>
      <c r="G34" s="2114"/>
      <c r="H34" s="2114"/>
      <c r="I34" s="2114"/>
      <c r="J34" s="2114"/>
      <c r="K34" s="2114"/>
      <c r="L34" s="2114"/>
      <c r="M34" s="2114"/>
      <c r="N34" s="2114"/>
      <c r="O34" s="2114"/>
      <c r="P34" s="2114"/>
      <c r="Q34" s="2114"/>
      <c r="R34" s="2114"/>
      <c r="S34" s="2114"/>
      <c r="T34" s="2114"/>
      <c r="U34" s="2114"/>
      <c r="V34" s="2114"/>
      <c r="W34" s="2114"/>
      <c r="X34" s="2114"/>
      <c r="Y34" s="2114"/>
      <c r="Z34" s="2114"/>
      <c r="AA34" s="2114"/>
      <c r="AB34" s="2114"/>
      <c r="AC34" s="2114"/>
      <c r="AD34" s="2114"/>
      <c r="AE34" s="2114"/>
      <c r="AF34" s="2114"/>
      <c r="AG34" s="2114"/>
      <c r="AH34" s="2114"/>
      <c r="AI34" s="2114"/>
      <c r="AJ34" s="2114"/>
      <c r="AK34" s="2114"/>
      <c r="AL34" s="2114"/>
      <c r="AM34" s="2114"/>
      <c r="AN34" s="2114"/>
      <c r="AO34" s="2115"/>
      <c r="AP34" s="1064" t="str">
        <f>Aulas!G5</f>
        <v>Curso 2024-2025</v>
      </c>
      <c r="AQ34" s="1065"/>
      <c r="AR34" s="1065"/>
      <c r="AS34" s="1065"/>
      <c r="AT34" s="1065"/>
      <c r="AU34" s="1065"/>
      <c r="AV34" s="1065"/>
      <c r="AW34" s="1065"/>
      <c r="AX34" s="1065"/>
      <c r="AY34" s="1066"/>
    </row>
    <row r="35" spans="1:108"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1013" t="s">
        <v>147</v>
      </c>
      <c r="AQ35" s="1013"/>
      <c r="AR35" s="1013"/>
      <c r="AS35" s="1013"/>
      <c r="AT35" s="1013"/>
      <c r="AU35" s="1013"/>
      <c r="AV35" s="1013"/>
      <c r="AW35" s="1013"/>
      <c r="AX35" s="1013"/>
      <c r="AY35" s="1014"/>
    </row>
    <row r="36" spans="1:108" s="8" customFormat="1" ht="23.25" customHeight="1" thickBot="1" x14ac:dyDescent="0.45">
      <c r="A36" s="2242" t="s">
        <v>586</v>
      </c>
      <c r="B36" s="2243"/>
      <c r="C36" s="2243"/>
      <c r="D36" s="2243"/>
      <c r="E36" s="2243"/>
      <c r="F36" s="2243"/>
      <c r="G36" s="2243"/>
      <c r="H36" s="2243"/>
      <c r="I36" s="2243"/>
      <c r="J36" s="2243"/>
      <c r="K36" s="2243"/>
      <c r="L36" s="2243"/>
      <c r="M36" s="2243"/>
      <c r="N36" s="2243"/>
      <c r="O36" s="2243"/>
      <c r="P36" s="2243"/>
      <c r="Q36" s="2243"/>
      <c r="R36" s="2243"/>
      <c r="S36" s="2243"/>
      <c r="T36" s="2243"/>
      <c r="U36" s="2243"/>
      <c r="V36" s="2243"/>
      <c r="W36" s="2243"/>
      <c r="X36" s="2243"/>
      <c r="Y36" s="2243"/>
      <c r="Z36" s="2243"/>
      <c r="AA36" s="2243"/>
      <c r="AB36" s="2243"/>
      <c r="AC36" s="2243"/>
      <c r="AD36" s="2243"/>
      <c r="AE36" s="2243"/>
      <c r="AF36" s="2243"/>
      <c r="AG36" s="2243"/>
      <c r="AH36" s="2243"/>
      <c r="AI36" s="2243"/>
      <c r="AJ36" s="2243"/>
      <c r="AK36" s="2243"/>
      <c r="AL36" s="2243"/>
      <c r="AM36" s="2243"/>
      <c r="AN36" s="2243"/>
      <c r="AO36" s="2244"/>
      <c r="AP36" s="1015"/>
      <c r="AQ36" s="1015"/>
      <c r="AR36" s="1015"/>
      <c r="AS36" s="1015"/>
      <c r="AT36" s="1015"/>
      <c r="AU36" s="1015"/>
      <c r="AV36" s="1015"/>
      <c r="AW36" s="1015"/>
      <c r="AX36" s="1015"/>
      <c r="AY36" s="1016"/>
    </row>
    <row r="37" spans="1:108" ht="18.75" customHeight="1" thickBot="1" x14ac:dyDescent="0.3">
      <c r="A37" s="9" t="s">
        <v>15</v>
      </c>
    </row>
    <row r="38" spans="1:108" s="2" customFormat="1" ht="24" customHeight="1" thickBot="1" x14ac:dyDescent="0.3">
      <c r="A38" s="19" t="s">
        <v>1</v>
      </c>
      <c r="B38" s="975" t="s">
        <v>2</v>
      </c>
      <c r="C38" s="976"/>
      <c r="D38" s="976"/>
      <c r="E38" s="976"/>
      <c r="F38" s="976"/>
      <c r="G38" s="976"/>
      <c r="H38" s="976"/>
      <c r="I38" s="976"/>
      <c r="J38" s="976"/>
      <c r="K38" s="977"/>
      <c r="L38" s="1064" t="s">
        <v>3</v>
      </c>
      <c r="M38" s="1065"/>
      <c r="N38" s="1065"/>
      <c r="O38" s="1065"/>
      <c r="P38" s="1065"/>
      <c r="Q38" s="1065"/>
      <c r="R38" s="1065"/>
      <c r="S38" s="1065"/>
      <c r="T38" s="1065"/>
      <c r="U38" s="1066"/>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c r="BG38" s="2021"/>
      <c r="BH38" s="2021"/>
      <c r="BI38" s="2021"/>
      <c r="BJ38" s="2021"/>
      <c r="BK38" s="2021"/>
      <c r="BL38" s="2021"/>
      <c r="BM38" s="2021"/>
      <c r="BN38" s="2021"/>
      <c r="BO38" s="2021"/>
      <c r="BP38" s="2021"/>
      <c r="BQ38" s="2021"/>
      <c r="BR38" s="2021"/>
      <c r="BS38" s="2021"/>
      <c r="BT38" s="2021"/>
      <c r="BU38" s="2021"/>
      <c r="BV38" s="2021"/>
      <c r="BW38" s="2021"/>
      <c r="BX38" s="2021"/>
      <c r="BY38" s="2021"/>
      <c r="BZ38" s="2021"/>
      <c r="CA38" s="2021"/>
      <c r="CB38" s="2021"/>
      <c r="CC38" s="2021"/>
      <c r="CD38" s="2021"/>
      <c r="CE38" s="2021"/>
      <c r="CF38" s="2021"/>
      <c r="CG38" s="2021"/>
      <c r="CH38" s="2021"/>
      <c r="CI38" s="2021"/>
      <c r="CJ38" s="2021"/>
      <c r="CK38" s="2021"/>
      <c r="CL38" s="2021"/>
      <c r="CM38" s="2021"/>
      <c r="CN38" s="2021"/>
      <c r="CO38" s="2021"/>
      <c r="CP38" s="2021"/>
      <c r="CQ38" s="2021"/>
      <c r="CR38" s="2021"/>
      <c r="CS38" s="2021"/>
      <c r="CT38" s="2021"/>
      <c r="CU38" s="2021"/>
      <c r="CV38" s="2021"/>
      <c r="CW38" s="2021"/>
      <c r="CX38" s="2021"/>
      <c r="CY38" s="2021"/>
      <c r="CZ38" s="2021"/>
      <c r="DA38" s="2021"/>
      <c r="DB38" s="2021"/>
      <c r="DC38" s="2021"/>
      <c r="DD38" s="2021"/>
    </row>
    <row r="39" spans="1:108" s="2" customFormat="1" ht="40.5" customHeight="1" x14ac:dyDescent="0.25">
      <c r="A39" s="1320" t="s">
        <v>10</v>
      </c>
      <c r="B39" s="481" t="s">
        <v>569</v>
      </c>
      <c r="C39" s="1182" t="s">
        <v>735</v>
      </c>
      <c r="D39" s="579"/>
      <c r="E39" s="2222"/>
      <c r="F39" s="424" t="s">
        <v>571</v>
      </c>
      <c r="G39" s="2224" t="s">
        <v>659</v>
      </c>
      <c r="H39" s="580"/>
      <c r="I39" s="2223"/>
      <c r="K39" s="189"/>
      <c r="L39" s="424" t="s">
        <v>569</v>
      </c>
      <c r="M39" s="2224" t="s">
        <v>659</v>
      </c>
      <c r="N39" s="211"/>
      <c r="O39" s="2143"/>
      <c r="P39" s="582"/>
      <c r="Q39" s="2221"/>
      <c r="R39" s="581"/>
      <c r="S39" s="2237"/>
      <c r="T39" s="581"/>
      <c r="U39" s="2160"/>
      <c r="V39" s="424" t="s">
        <v>569</v>
      </c>
      <c r="W39" s="1243" t="s">
        <v>1148</v>
      </c>
      <c r="X39" s="737"/>
      <c r="Y39" s="1728"/>
      <c r="Z39" s="583"/>
      <c r="AA39" s="2222"/>
      <c r="AB39" s="424" t="s">
        <v>572</v>
      </c>
      <c r="AC39" s="2153" t="s">
        <v>685</v>
      </c>
      <c r="AD39" s="387"/>
      <c r="AE39" s="2214"/>
      <c r="AF39" s="472"/>
      <c r="AG39" s="1728"/>
      <c r="AH39" s="385" t="s">
        <v>570</v>
      </c>
      <c r="AI39" s="1243" t="s">
        <v>160</v>
      </c>
      <c r="AJ39" s="108" t="s">
        <v>571</v>
      </c>
      <c r="AK39" s="1730" t="s">
        <v>553</v>
      </c>
      <c r="AL39" s="211"/>
      <c r="AM39" s="2143"/>
      <c r="AN39" s="580"/>
      <c r="AO39" s="2161"/>
      <c r="AP39" s="385" t="s">
        <v>569</v>
      </c>
      <c r="AQ39" s="1730" t="s">
        <v>553</v>
      </c>
      <c r="AR39" s="481" t="s">
        <v>570</v>
      </c>
      <c r="AS39" s="1182" t="s">
        <v>735</v>
      </c>
      <c r="AT39" s="108" t="s">
        <v>571</v>
      </c>
      <c r="AU39" s="1243" t="s">
        <v>1148</v>
      </c>
      <c r="AV39" s="746"/>
      <c r="AW39" s="2240"/>
      <c r="AX39" s="580"/>
      <c r="AY39" s="2161"/>
      <c r="BG39" s="481"/>
      <c r="BH39" s="1730"/>
      <c r="BI39" s="481"/>
      <c r="BJ39" s="1730"/>
      <c r="BK39" s="472"/>
      <c r="BL39" s="1740"/>
      <c r="BM39" s="573"/>
      <c r="BN39" s="2018"/>
      <c r="BO39" s="573"/>
      <c r="BP39" s="2018"/>
      <c r="BQ39" s="481"/>
      <c r="BR39" s="1730"/>
      <c r="BS39" s="481"/>
      <c r="BT39" s="1730"/>
      <c r="BU39" s="472"/>
      <c r="BV39" s="1740"/>
      <c r="BW39" s="573"/>
      <c r="BX39" s="2018"/>
      <c r="BY39" s="573"/>
      <c r="BZ39" s="2018"/>
      <c r="CA39" s="481"/>
      <c r="CB39" s="1730"/>
      <c r="CC39" s="481"/>
      <c r="CD39" s="1730"/>
      <c r="CE39" s="472"/>
      <c r="CF39" s="1740"/>
      <c r="CG39" s="573"/>
      <c r="CH39" s="2018"/>
      <c r="CI39" s="574"/>
      <c r="CJ39" s="2024"/>
      <c r="CK39" s="481"/>
      <c r="CL39" s="1730"/>
      <c r="CM39" s="481"/>
      <c r="CN39" s="1730"/>
      <c r="CO39" s="481"/>
      <c r="CP39" s="1730"/>
      <c r="CQ39" s="573"/>
      <c r="CR39" s="2018"/>
      <c r="CS39" s="573"/>
      <c r="CT39" s="2018"/>
      <c r="CU39" s="481"/>
      <c r="CV39" s="1730"/>
      <c r="CW39" s="481"/>
      <c r="CX39" s="1730"/>
      <c r="CY39" s="472"/>
      <c r="CZ39" s="1740"/>
      <c r="DA39" s="574"/>
      <c r="DB39" s="2024"/>
      <c r="DC39" s="573"/>
      <c r="DD39" s="2018"/>
    </row>
    <row r="40" spans="1:108" s="2" customFormat="1" ht="40.5" customHeight="1" x14ac:dyDescent="0.25">
      <c r="A40" s="1321"/>
      <c r="B40" s="1878" t="s">
        <v>49</v>
      </c>
      <c r="C40" s="1182"/>
      <c r="D40" s="1756"/>
      <c r="E40" s="2222"/>
      <c r="F40" s="1878" t="s">
        <v>25</v>
      </c>
      <c r="G40" s="1730"/>
      <c r="H40" s="1939"/>
      <c r="I40" s="2223"/>
      <c r="L40" s="1796" t="s">
        <v>25</v>
      </c>
      <c r="M40" s="1730"/>
      <c r="N40" s="1794"/>
      <c r="O40" s="1728"/>
      <c r="P40" s="1756"/>
      <c r="Q40" s="2222"/>
      <c r="R40" s="1939"/>
      <c r="S40" s="2223"/>
      <c r="T40" s="1939"/>
      <c r="U40" s="2161"/>
      <c r="V40" s="1878" t="s">
        <v>24</v>
      </c>
      <c r="W40" s="1243"/>
      <c r="X40" s="1794"/>
      <c r="Y40" s="1728"/>
      <c r="Z40" s="2231"/>
      <c r="AA40" s="2222"/>
      <c r="AB40" s="1878" t="s">
        <v>25</v>
      </c>
      <c r="AC40" s="1730"/>
      <c r="AD40" s="1751"/>
      <c r="AE40" s="2215"/>
      <c r="AF40" s="1814"/>
      <c r="AG40" s="1728"/>
      <c r="AH40" s="1797" t="s">
        <v>27</v>
      </c>
      <c r="AI40" s="1243"/>
      <c r="AJ40" s="1797" t="s">
        <v>26</v>
      </c>
      <c r="AK40" s="1730"/>
      <c r="AL40" s="1794"/>
      <c r="AM40" s="1728"/>
      <c r="AN40" s="1939"/>
      <c r="AO40" s="2161"/>
      <c r="AP40" s="1797" t="s">
        <v>26</v>
      </c>
      <c r="AQ40" s="1730"/>
      <c r="AR40" s="1878" t="s">
        <v>49</v>
      </c>
      <c r="AS40" s="1182"/>
      <c r="AT40" s="1797" t="s">
        <v>24</v>
      </c>
      <c r="AU40" s="1243"/>
      <c r="AV40" s="2212"/>
      <c r="AW40" s="2240"/>
      <c r="AX40" s="1939"/>
      <c r="AY40" s="2161"/>
      <c r="BG40" s="1878"/>
      <c r="BH40" s="1730"/>
      <c r="BI40" s="1878"/>
      <c r="BJ40" s="1730"/>
      <c r="BK40" s="1814"/>
      <c r="BL40" s="1740"/>
      <c r="BM40" s="2019"/>
      <c r="BN40" s="2018"/>
      <c r="BO40" s="2019"/>
      <c r="BP40" s="2018"/>
      <c r="BQ40" s="1878"/>
      <c r="BR40" s="1730"/>
      <c r="BS40" s="1878"/>
      <c r="BT40" s="1730"/>
      <c r="BU40" s="1814"/>
      <c r="BV40" s="1740"/>
      <c r="BW40" s="2019"/>
      <c r="BX40" s="2018"/>
      <c r="BY40" s="2019"/>
      <c r="BZ40" s="2018"/>
      <c r="CA40" s="1878"/>
      <c r="CB40" s="1730"/>
      <c r="CC40" s="1878"/>
      <c r="CD40" s="1730"/>
      <c r="CE40" s="1814"/>
      <c r="CF40" s="1740"/>
      <c r="CG40" s="2019"/>
      <c r="CH40" s="2018"/>
      <c r="CI40" s="2025"/>
      <c r="CJ40" s="2024"/>
      <c r="CK40" s="1878"/>
      <c r="CL40" s="1730"/>
      <c r="CM40" s="1878"/>
      <c r="CN40" s="1730"/>
      <c r="CO40" s="1878"/>
      <c r="CP40" s="1730"/>
      <c r="CQ40" s="2019"/>
      <c r="CR40" s="2018"/>
      <c r="CS40" s="2019"/>
      <c r="CT40" s="2018"/>
      <c r="CU40" s="1878"/>
      <c r="CV40" s="1730"/>
      <c r="CW40" s="1878"/>
      <c r="CX40" s="1730"/>
      <c r="CY40" s="1814"/>
      <c r="CZ40" s="1740"/>
      <c r="DA40" s="2025"/>
      <c r="DB40" s="2024"/>
      <c r="DC40" s="2019"/>
      <c r="DD40" s="2018"/>
    </row>
    <row r="41" spans="1:108" s="2" customFormat="1" ht="40.5" customHeight="1" x14ac:dyDescent="0.25">
      <c r="A41" s="1161" t="s">
        <v>11</v>
      </c>
      <c r="B41" s="1796"/>
      <c r="C41" s="1182"/>
      <c r="D41" s="1756"/>
      <c r="E41" s="2222"/>
      <c r="F41" s="1878"/>
      <c r="G41" s="1730"/>
      <c r="H41" s="1939"/>
      <c r="I41" s="2223"/>
      <c r="L41" s="1796"/>
      <c r="M41" s="1730"/>
      <c r="N41" s="1794"/>
      <c r="O41" s="1728"/>
      <c r="P41" s="1756"/>
      <c r="Q41" s="2222"/>
      <c r="R41" s="1939"/>
      <c r="S41" s="2223"/>
      <c r="T41" s="1939"/>
      <c r="U41" s="2161"/>
      <c r="V41" s="1878"/>
      <c r="W41" s="1243"/>
      <c r="X41" s="1794"/>
      <c r="Y41" s="1728"/>
      <c r="Z41" s="2231"/>
      <c r="AA41" s="2222"/>
      <c r="AB41" s="1878"/>
      <c r="AC41" s="1730"/>
      <c r="AD41" s="1751"/>
      <c r="AE41" s="2215"/>
      <c r="AF41" s="1814"/>
      <c r="AG41" s="1728"/>
      <c r="AH41" s="1797"/>
      <c r="AI41" s="1243"/>
      <c r="AJ41" s="1797"/>
      <c r="AK41" s="1730"/>
      <c r="AL41" s="1794"/>
      <c r="AM41" s="1728"/>
      <c r="AN41" s="1939"/>
      <c r="AO41" s="2161"/>
      <c r="AP41" s="1797"/>
      <c r="AQ41" s="1730"/>
      <c r="AR41" s="1878"/>
      <c r="AS41" s="1182"/>
      <c r="AT41" s="1797"/>
      <c r="AU41" s="1243"/>
      <c r="AV41" s="2212"/>
      <c r="AW41" s="2240"/>
      <c r="AX41" s="1939"/>
      <c r="AY41" s="2161"/>
      <c r="BG41" s="1878"/>
      <c r="BH41" s="1730"/>
      <c r="BI41" s="1878"/>
      <c r="BJ41" s="1730"/>
      <c r="BK41" s="1814"/>
      <c r="BL41" s="1740"/>
      <c r="BM41" s="2019"/>
      <c r="BN41" s="2018"/>
      <c r="BO41" s="2019"/>
      <c r="BP41" s="2018"/>
      <c r="BQ41" s="1878"/>
      <c r="BR41" s="1730"/>
      <c r="BS41" s="1878"/>
      <c r="BT41" s="1730"/>
      <c r="BU41" s="1814"/>
      <c r="BV41" s="1740"/>
      <c r="BW41" s="2019"/>
      <c r="BX41" s="2018"/>
      <c r="BY41" s="2019"/>
      <c r="BZ41" s="2018"/>
      <c r="CA41" s="1878"/>
      <c r="CB41" s="1730"/>
      <c r="CC41" s="1878"/>
      <c r="CD41" s="1730"/>
      <c r="CE41" s="1814"/>
      <c r="CF41" s="1740"/>
      <c r="CG41" s="2019"/>
      <c r="CH41" s="2018"/>
      <c r="CI41" s="2025"/>
      <c r="CJ41" s="2024"/>
      <c r="CK41" s="1878"/>
      <c r="CL41" s="1730"/>
      <c r="CM41" s="1878"/>
      <c r="CN41" s="1730"/>
      <c r="CO41" s="1878"/>
      <c r="CP41" s="1730"/>
      <c r="CQ41" s="2019"/>
      <c r="CR41" s="2018"/>
      <c r="CS41" s="2019"/>
      <c r="CT41" s="2018"/>
      <c r="CU41" s="1878"/>
      <c r="CV41" s="1730"/>
      <c r="CW41" s="1878"/>
      <c r="CX41" s="1730"/>
      <c r="CY41" s="1814"/>
      <c r="CZ41" s="1740"/>
      <c r="DA41" s="2025"/>
      <c r="DB41" s="2024"/>
      <c r="DC41" s="2019"/>
      <c r="DD41" s="2018"/>
    </row>
    <row r="42" spans="1:108" s="2" customFormat="1" ht="40.5" customHeight="1" thickBot="1" x14ac:dyDescent="0.3">
      <c r="A42" s="1161"/>
      <c r="B42" s="1949"/>
      <c r="C42" s="1182"/>
      <c r="D42" s="1756"/>
      <c r="E42" s="2222"/>
      <c r="F42" s="1997"/>
      <c r="G42" s="2181"/>
      <c r="H42" s="1939"/>
      <c r="I42" s="2223"/>
      <c r="L42" s="1949"/>
      <c r="M42" s="2181"/>
      <c r="N42" s="1794"/>
      <c r="O42" s="2144"/>
      <c r="P42" s="1756"/>
      <c r="Q42" s="2222"/>
      <c r="R42" s="1939"/>
      <c r="S42" s="2223"/>
      <c r="T42" s="1939"/>
      <c r="U42" s="2162"/>
      <c r="V42" s="1997"/>
      <c r="W42" s="1732"/>
      <c r="X42" s="1794"/>
      <c r="Y42" s="2144"/>
      <c r="Z42" s="2231"/>
      <c r="AA42" s="2222"/>
      <c r="AB42" s="1997"/>
      <c r="AC42" s="2181"/>
      <c r="AD42" s="1751"/>
      <c r="AE42" s="2216"/>
      <c r="AF42" s="2016"/>
      <c r="AG42" s="2144"/>
      <c r="AH42" s="1797"/>
      <c r="AI42" s="1732"/>
      <c r="AJ42" s="2001"/>
      <c r="AK42" s="1730"/>
      <c r="AL42" s="2002"/>
      <c r="AM42" s="2144"/>
      <c r="AN42" s="1940"/>
      <c r="AO42" s="2162"/>
      <c r="AP42" s="1797"/>
      <c r="AQ42" s="1730"/>
      <c r="AR42" s="1997"/>
      <c r="AS42" s="1182"/>
      <c r="AT42" s="2001"/>
      <c r="AU42" s="1732"/>
      <c r="AV42" s="2213"/>
      <c r="AW42" s="2241"/>
      <c r="AX42" s="1939"/>
      <c r="AY42" s="2161"/>
      <c r="BG42" s="1878"/>
      <c r="BH42" s="1730"/>
      <c r="BI42" s="1878"/>
      <c r="BJ42" s="1730"/>
      <c r="BK42" s="1814"/>
      <c r="BL42" s="1740"/>
      <c r="BM42" s="2019"/>
      <c r="BN42" s="2018"/>
      <c r="BO42" s="2019"/>
      <c r="BP42" s="2018"/>
      <c r="BQ42" s="1878"/>
      <c r="BR42" s="1730"/>
      <c r="BS42" s="1878"/>
      <c r="BT42" s="1730"/>
      <c r="BU42" s="1814"/>
      <c r="BV42" s="1740"/>
      <c r="BW42" s="2019"/>
      <c r="BX42" s="2018"/>
      <c r="BY42" s="2019"/>
      <c r="BZ42" s="2018"/>
      <c r="CA42" s="1878"/>
      <c r="CB42" s="1730"/>
      <c r="CC42" s="1878"/>
      <c r="CD42" s="1730"/>
      <c r="CE42" s="1814"/>
      <c r="CF42" s="1740"/>
      <c r="CG42" s="2019"/>
      <c r="CH42" s="2018"/>
      <c r="CI42" s="2025"/>
      <c r="CJ42" s="2024"/>
      <c r="CK42" s="1878"/>
      <c r="CL42" s="1730"/>
      <c r="CM42" s="1878"/>
      <c r="CN42" s="1730"/>
      <c r="CO42" s="1878"/>
      <c r="CP42" s="1730"/>
      <c r="CQ42" s="2019"/>
      <c r="CR42" s="2018"/>
      <c r="CS42" s="2019"/>
      <c r="CT42" s="2018"/>
      <c r="CU42" s="1878"/>
      <c r="CV42" s="1730"/>
      <c r="CW42" s="1878"/>
      <c r="CX42" s="1730"/>
      <c r="CY42" s="1814"/>
      <c r="CZ42" s="1740"/>
      <c r="DA42" s="2025"/>
      <c r="DB42" s="2024"/>
      <c r="DC42" s="2019"/>
      <c r="DD42" s="2018"/>
    </row>
    <row r="43" spans="1:108" s="2" customFormat="1" ht="40.5" customHeight="1" x14ac:dyDescent="0.25">
      <c r="A43" s="1161" t="s">
        <v>6</v>
      </c>
      <c r="B43" s="2131" t="s">
        <v>27</v>
      </c>
      <c r="C43" s="2132"/>
      <c r="D43" s="2132"/>
      <c r="E43" s="2132"/>
      <c r="F43" s="2132"/>
      <c r="G43" s="2132"/>
      <c r="H43" s="1964" t="s">
        <v>147</v>
      </c>
      <c r="I43" s="1964"/>
      <c r="J43" s="1964"/>
      <c r="K43" s="1965"/>
      <c r="L43" s="2131" t="s">
        <v>49</v>
      </c>
      <c r="M43" s="2132"/>
      <c r="N43" s="2132"/>
      <c r="O43" s="2132"/>
      <c r="P43" s="2132"/>
      <c r="Q43" s="2132"/>
      <c r="R43" s="1964" t="s">
        <v>147</v>
      </c>
      <c r="S43" s="1964"/>
      <c r="T43" s="1964"/>
      <c r="U43" s="1965"/>
      <c r="V43" s="2131" t="s">
        <v>27</v>
      </c>
      <c r="W43" s="2132"/>
      <c r="X43" s="2132"/>
      <c r="Y43" s="2132"/>
      <c r="Z43" s="2132"/>
      <c r="AA43" s="2132"/>
      <c r="AB43" s="1964" t="s">
        <v>147</v>
      </c>
      <c r="AC43" s="1964"/>
      <c r="AD43" s="1964"/>
      <c r="AE43" s="1965"/>
      <c r="AF43" s="2131" t="s">
        <v>24</v>
      </c>
      <c r="AG43" s="2132"/>
      <c r="AH43" s="2132"/>
      <c r="AI43" s="2132"/>
      <c r="AJ43" s="2132"/>
      <c r="AK43" s="2132"/>
      <c r="AL43" s="1964" t="s">
        <v>147</v>
      </c>
      <c r="AM43" s="1964"/>
      <c r="AN43" s="1964"/>
      <c r="AO43" s="1965"/>
      <c r="AP43" s="2131" t="s">
        <v>26</v>
      </c>
      <c r="AQ43" s="2132"/>
      <c r="AR43" s="2132"/>
      <c r="AS43" s="2132"/>
      <c r="AT43" s="2132"/>
      <c r="AU43" s="2132"/>
      <c r="AV43" s="1964" t="s">
        <v>147</v>
      </c>
      <c r="AW43" s="1964"/>
      <c r="AX43" s="1964"/>
      <c r="AY43" s="1965"/>
      <c r="BG43" s="2014"/>
      <c r="BH43" s="2014"/>
      <c r="BI43" s="2014"/>
      <c r="BJ43" s="2014"/>
      <c r="BK43" s="2014"/>
      <c r="BL43" s="2014"/>
      <c r="BM43" s="997"/>
      <c r="BN43" s="997"/>
      <c r="BO43" s="997"/>
      <c r="BP43" s="575"/>
      <c r="BQ43" s="2014"/>
      <c r="BR43" s="2014"/>
      <c r="BS43" s="2014"/>
      <c r="BT43" s="2014"/>
      <c r="BU43" s="2014"/>
      <c r="BV43" s="2014"/>
      <c r="BW43" s="997"/>
      <c r="BX43" s="997"/>
      <c r="BY43" s="997"/>
      <c r="BZ43" s="575"/>
      <c r="CA43" s="2020"/>
      <c r="CB43" s="2020"/>
      <c r="CC43" s="2020"/>
      <c r="CD43" s="2020"/>
      <c r="CE43" s="2020"/>
      <c r="CF43" s="2020"/>
      <c r="CG43" s="997"/>
      <c r="CH43" s="997"/>
      <c r="CI43" s="997"/>
      <c r="CJ43" s="575"/>
      <c r="CK43" s="2014"/>
      <c r="CL43" s="2014"/>
      <c r="CM43" s="2014"/>
      <c r="CN43" s="2014"/>
      <c r="CO43" s="2014"/>
      <c r="CP43" s="2014"/>
      <c r="CQ43" s="997"/>
      <c r="CR43" s="997"/>
      <c r="CS43" s="997"/>
      <c r="CT43" s="575"/>
      <c r="CU43" s="2014"/>
      <c r="CV43" s="2014"/>
      <c r="CW43" s="2014"/>
      <c r="CX43" s="2014"/>
      <c r="CY43" s="2014"/>
      <c r="CZ43" s="2014"/>
      <c r="DA43" s="997"/>
      <c r="DB43" s="997"/>
      <c r="DC43" s="997"/>
      <c r="DD43" s="575"/>
    </row>
    <row r="44" spans="1:108" s="2" customFormat="1" ht="40.5" customHeight="1" thickBot="1" x14ac:dyDescent="0.3">
      <c r="A44" s="1161"/>
      <c r="B44" s="2133"/>
      <c r="C44" s="2134"/>
      <c r="D44" s="2134"/>
      <c r="E44" s="2134"/>
      <c r="F44" s="2134"/>
      <c r="G44" s="2134"/>
      <c r="H44" s="1116"/>
      <c r="I44" s="1116"/>
      <c r="J44" s="1116"/>
      <c r="K44" s="1117"/>
      <c r="L44" s="2133"/>
      <c r="M44" s="2134"/>
      <c r="N44" s="2134"/>
      <c r="O44" s="2134"/>
      <c r="P44" s="2134"/>
      <c r="Q44" s="2134"/>
      <c r="R44" s="1116"/>
      <c r="S44" s="1116"/>
      <c r="T44" s="1116"/>
      <c r="U44" s="1117"/>
      <c r="V44" s="2133"/>
      <c r="W44" s="2134"/>
      <c r="X44" s="2134"/>
      <c r="Y44" s="2134"/>
      <c r="Z44" s="2134"/>
      <c r="AA44" s="2134"/>
      <c r="AB44" s="1116"/>
      <c r="AC44" s="1116"/>
      <c r="AD44" s="1116"/>
      <c r="AE44" s="1117"/>
      <c r="AF44" s="2133"/>
      <c r="AG44" s="2134"/>
      <c r="AH44" s="2134"/>
      <c r="AI44" s="2134"/>
      <c r="AJ44" s="2134"/>
      <c r="AK44" s="2134"/>
      <c r="AL44" s="1116"/>
      <c r="AM44" s="1116"/>
      <c r="AN44" s="1116"/>
      <c r="AO44" s="1117"/>
      <c r="AP44" s="2133"/>
      <c r="AQ44" s="2134"/>
      <c r="AR44" s="2134"/>
      <c r="AS44" s="2134"/>
      <c r="AT44" s="2134"/>
      <c r="AU44" s="2134"/>
      <c r="AV44" s="1116"/>
      <c r="AW44" s="1116"/>
      <c r="AX44" s="1116"/>
      <c r="AY44" s="1117"/>
      <c r="BG44" s="2003"/>
      <c r="BH44" s="2003"/>
      <c r="BI44" s="2003"/>
      <c r="BJ44" s="2003"/>
      <c r="BK44" s="2003"/>
      <c r="BL44" s="2003"/>
      <c r="BM44" s="985"/>
      <c r="BN44" s="985"/>
      <c r="BO44" s="985"/>
      <c r="BP44" s="576"/>
      <c r="BQ44" s="2022"/>
      <c r="BR44" s="2022"/>
      <c r="BS44" s="2022"/>
      <c r="BT44" s="2022"/>
      <c r="BU44" s="2022"/>
      <c r="BV44" s="2022"/>
      <c r="BW44" s="985"/>
      <c r="BX44" s="985"/>
      <c r="BY44" s="985"/>
      <c r="BZ44" s="576"/>
      <c r="CA44" s="2020"/>
      <c r="CB44" s="2020"/>
      <c r="CC44" s="2020"/>
      <c r="CD44" s="2020"/>
      <c r="CE44" s="2020"/>
      <c r="CF44" s="2020"/>
      <c r="CG44" s="997"/>
      <c r="CH44" s="997"/>
      <c r="CI44" s="997"/>
      <c r="CJ44" s="575"/>
      <c r="CK44" s="2003"/>
      <c r="CL44" s="2003"/>
      <c r="CM44" s="2003"/>
      <c r="CN44" s="2003"/>
      <c r="CO44" s="2003"/>
      <c r="CP44" s="2003"/>
      <c r="CQ44" s="985"/>
      <c r="CR44" s="985"/>
      <c r="CS44" s="985"/>
      <c r="CT44" s="576"/>
    </row>
    <row r="45" spans="1:108" s="2" customFormat="1" ht="40.5" customHeight="1" x14ac:dyDescent="0.25">
      <c r="A45" s="1161" t="s">
        <v>7</v>
      </c>
      <c r="B45" s="2131" t="s">
        <v>25</v>
      </c>
      <c r="C45" s="2132"/>
      <c r="D45" s="2132"/>
      <c r="E45" s="2132"/>
      <c r="F45" s="2132"/>
      <c r="G45" s="2132"/>
      <c r="H45" s="1964" t="s">
        <v>147</v>
      </c>
      <c r="I45" s="1964"/>
      <c r="J45" s="1964"/>
      <c r="K45" s="1965"/>
      <c r="L45" s="2131" t="s">
        <v>25</v>
      </c>
      <c r="M45" s="2132"/>
      <c r="N45" s="2132"/>
      <c r="O45" s="2132"/>
      <c r="P45" s="2132"/>
      <c r="Q45" s="2132"/>
      <c r="R45" s="1964" t="s">
        <v>147</v>
      </c>
      <c r="S45" s="1964"/>
      <c r="T45" s="1964"/>
      <c r="U45" s="1965"/>
      <c r="V45" s="2131" t="s">
        <v>24</v>
      </c>
      <c r="W45" s="2132"/>
      <c r="X45" s="2132"/>
      <c r="Y45" s="2132"/>
      <c r="Z45" s="2132"/>
      <c r="AA45" s="2132"/>
      <c r="AB45" s="1964" t="s">
        <v>147</v>
      </c>
      <c r="AC45" s="1964"/>
      <c r="AD45" s="1964"/>
      <c r="AE45" s="1965"/>
      <c r="AF45" s="2131" t="s">
        <v>26</v>
      </c>
      <c r="AG45" s="2132"/>
      <c r="AH45" s="2132"/>
      <c r="AI45" s="2132"/>
      <c r="AJ45" s="2132"/>
      <c r="AK45" s="2132"/>
      <c r="AL45" s="1964" t="s">
        <v>147</v>
      </c>
      <c r="AM45" s="1964"/>
      <c r="AN45" s="1964"/>
      <c r="AO45" s="1965"/>
      <c r="AP45" s="2131" t="s">
        <v>49</v>
      </c>
      <c r="AQ45" s="2132"/>
      <c r="AR45" s="2132"/>
      <c r="AS45" s="2132"/>
      <c r="AT45" s="2132"/>
      <c r="AU45" s="2132"/>
      <c r="AV45" s="1964" t="s">
        <v>147</v>
      </c>
      <c r="AW45" s="1964"/>
      <c r="AX45" s="1964"/>
      <c r="AY45" s="1965"/>
      <c r="BG45" s="2014"/>
      <c r="BH45" s="2014"/>
      <c r="BI45" s="2014"/>
      <c r="BJ45" s="2014"/>
      <c r="BK45" s="2014"/>
      <c r="BL45" s="2014"/>
      <c r="BM45" s="997"/>
      <c r="BN45" s="997"/>
      <c r="BO45" s="997"/>
      <c r="BP45" s="575"/>
      <c r="BQ45" s="2020"/>
      <c r="BR45" s="2020"/>
      <c r="BS45" s="2020"/>
      <c r="BT45" s="2020"/>
      <c r="BU45" s="2020"/>
      <c r="BV45" s="2020"/>
      <c r="BW45" s="997"/>
      <c r="BX45" s="997"/>
      <c r="BY45" s="997"/>
      <c r="BZ45" s="575"/>
      <c r="CA45" s="2014"/>
      <c r="CB45" s="2014"/>
      <c r="CC45" s="2014"/>
      <c r="CD45" s="2014"/>
      <c r="CE45" s="2014"/>
      <c r="CF45" s="2014"/>
      <c r="CG45" s="997"/>
      <c r="CH45" s="997"/>
      <c r="CI45" s="997"/>
      <c r="CJ45" s="575"/>
      <c r="CK45" s="2014"/>
      <c r="CL45" s="2014"/>
      <c r="CM45" s="2014"/>
      <c r="CN45" s="2014"/>
      <c r="CO45" s="2014"/>
      <c r="CP45" s="2014"/>
      <c r="CQ45" s="997"/>
      <c r="CR45" s="997"/>
      <c r="CS45" s="997"/>
      <c r="CT45" s="575"/>
    </row>
    <row r="46" spans="1:108" s="2" customFormat="1" ht="40.5" customHeight="1" thickBot="1" x14ac:dyDescent="0.3">
      <c r="A46" s="1161"/>
      <c r="B46" s="2133"/>
      <c r="C46" s="2134"/>
      <c r="D46" s="2134"/>
      <c r="E46" s="2134"/>
      <c r="F46" s="2134"/>
      <c r="G46" s="2134"/>
      <c r="H46" s="1116"/>
      <c r="I46" s="1116"/>
      <c r="J46" s="1116"/>
      <c r="K46" s="1117"/>
      <c r="L46" s="2133"/>
      <c r="M46" s="2134"/>
      <c r="N46" s="2134"/>
      <c r="O46" s="2134"/>
      <c r="P46" s="2134"/>
      <c r="Q46" s="2134"/>
      <c r="R46" s="1116"/>
      <c r="S46" s="1116"/>
      <c r="T46" s="1116"/>
      <c r="U46" s="1117"/>
      <c r="V46" s="2133"/>
      <c r="W46" s="2134"/>
      <c r="X46" s="2134"/>
      <c r="Y46" s="2134"/>
      <c r="Z46" s="2134"/>
      <c r="AA46" s="2134"/>
      <c r="AB46" s="1116"/>
      <c r="AC46" s="1116"/>
      <c r="AD46" s="1116"/>
      <c r="AE46" s="1117"/>
      <c r="AF46" s="2133"/>
      <c r="AG46" s="2134"/>
      <c r="AH46" s="2134"/>
      <c r="AI46" s="2134"/>
      <c r="AJ46" s="2134"/>
      <c r="AK46" s="2134"/>
      <c r="AL46" s="1116"/>
      <c r="AM46" s="1116"/>
      <c r="AN46" s="1116"/>
      <c r="AO46" s="1117"/>
      <c r="AP46" s="2133"/>
      <c r="AQ46" s="2134"/>
      <c r="AR46" s="2134"/>
      <c r="AS46" s="2134"/>
      <c r="AT46" s="2134"/>
      <c r="AU46" s="2134"/>
      <c r="AV46" s="1116"/>
      <c r="AW46" s="1116"/>
      <c r="AX46" s="1116"/>
      <c r="AY46" s="1117"/>
      <c r="BG46" s="2003"/>
      <c r="BH46" s="2003"/>
      <c r="BI46" s="2003"/>
      <c r="BJ46" s="2003"/>
      <c r="BK46" s="2003"/>
      <c r="BL46" s="2003"/>
      <c r="BM46" s="985"/>
      <c r="BN46" s="985"/>
      <c r="BO46" s="985"/>
      <c r="BP46" s="576"/>
      <c r="BQ46" s="2003"/>
      <c r="BR46" s="2003"/>
      <c r="BS46" s="2003"/>
      <c r="BT46" s="2003"/>
      <c r="BU46" s="2003"/>
      <c r="BV46" s="2003"/>
      <c r="BW46" s="985"/>
      <c r="BX46" s="985"/>
      <c r="BY46" s="985"/>
      <c r="BZ46" s="576"/>
      <c r="CK46" s="2022"/>
      <c r="CL46" s="2022"/>
      <c r="CM46" s="2022"/>
      <c r="CN46" s="2022"/>
      <c r="CO46" s="2022"/>
      <c r="CP46" s="2022"/>
      <c r="CQ46" s="985"/>
      <c r="CR46" s="985"/>
      <c r="CS46" s="985"/>
      <c r="CT46" s="576"/>
    </row>
    <row r="47" spans="1:108" s="2" customFormat="1" ht="40.5" customHeight="1" x14ac:dyDescent="0.25">
      <c r="A47" s="1161" t="s">
        <v>8</v>
      </c>
      <c r="B47" s="739"/>
      <c r="C47" s="2143"/>
      <c r="D47" s="424" t="s">
        <v>570</v>
      </c>
      <c r="E47" s="2153" t="s">
        <v>659</v>
      </c>
      <c r="F47" s="472"/>
      <c r="G47" s="2184"/>
      <c r="H47" s="849" t="s">
        <v>572</v>
      </c>
      <c r="I47" s="1055" t="s">
        <v>735</v>
      </c>
      <c r="J47" s="211"/>
      <c r="K47" s="2179"/>
      <c r="L47" s="211"/>
      <c r="M47" s="2143"/>
      <c r="N47" s="211"/>
      <c r="O47" s="2143"/>
      <c r="P47" s="211"/>
      <c r="Q47" s="2143"/>
      <c r="R47" s="211"/>
      <c r="S47" s="2143"/>
      <c r="T47" s="211"/>
      <c r="U47" s="2179"/>
      <c r="V47" s="211"/>
      <c r="W47" s="2143"/>
      <c r="X47" s="211"/>
      <c r="Y47" s="2143"/>
      <c r="Z47" s="387"/>
      <c r="AA47" s="2204"/>
      <c r="AB47" s="108" t="s">
        <v>572</v>
      </c>
      <c r="AC47" s="1243" t="s">
        <v>1307</v>
      </c>
      <c r="AD47" s="211"/>
      <c r="AE47" s="2179"/>
      <c r="AF47" s="578"/>
      <c r="AG47" s="2143"/>
      <c r="AH47" s="108" t="s">
        <v>570</v>
      </c>
      <c r="AI47" s="2153" t="s">
        <v>147</v>
      </c>
      <c r="AJ47" s="211"/>
      <c r="AK47" s="2143"/>
      <c r="AL47" s="211"/>
      <c r="AM47" s="2143"/>
      <c r="AN47" s="211"/>
      <c r="AO47" s="2179"/>
      <c r="AP47" s="739"/>
      <c r="AQ47" s="2143"/>
      <c r="AR47" s="108" t="s">
        <v>570</v>
      </c>
      <c r="AS47" s="1243" t="s">
        <v>1148</v>
      </c>
      <c r="AT47" s="481" t="s">
        <v>571</v>
      </c>
      <c r="AU47" s="1424" t="s">
        <v>735</v>
      </c>
      <c r="AV47" s="865"/>
      <c r="AW47" s="2201"/>
      <c r="AX47" s="296"/>
      <c r="AY47" s="590"/>
      <c r="AZ47" s="184"/>
      <c r="BG47" s="2022"/>
      <c r="BH47" s="2022"/>
      <c r="BI47" s="2022"/>
      <c r="BJ47" s="2022"/>
      <c r="BK47" s="2022"/>
      <c r="BL47" s="2022"/>
      <c r="BM47" s="2023"/>
      <c r="BN47" s="2023"/>
      <c r="BO47" s="2023"/>
      <c r="BP47" s="577"/>
    </row>
    <row r="48" spans="1:108" s="2" customFormat="1" ht="40.5" customHeight="1" x14ac:dyDescent="0.25">
      <c r="A48" s="1161"/>
      <c r="B48" s="2079"/>
      <c r="C48" s="1728"/>
      <c r="D48" s="1878" t="s">
        <v>25</v>
      </c>
      <c r="E48" s="1730"/>
      <c r="F48" s="1794"/>
      <c r="G48" s="1715"/>
      <c r="H48" s="2166" t="s">
        <v>49</v>
      </c>
      <c r="I48" s="1055"/>
      <c r="J48" s="1794"/>
      <c r="K48" s="1720"/>
      <c r="L48" s="1794"/>
      <c r="M48" s="1728"/>
      <c r="N48" s="1794"/>
      <c r="O48" s="1728"/>
      <c r="P48" s="1794"/>
      <c r="Q48" s="1728"/>
      <c r="R48" s="1794"/>
      <c r="S48" s="1728"/>
      <c r="T48" s="1794"/>
      <c r="U48" s="1720"/>
      <c r="V48" s="1794"/>
      <c r="W48" s="1728"/>
      <c r="X48" s="1794"/>
      <c r="Y48" s="1728"/>
      <c r="Z48" s="1751"/>
      <c r="AA48" s="2201"/>
      <c r="AB48" s="1797" t="s">
        <v>24</v>
      </c>
      <c r="AC48" s="1243"/>
      <c r="AD48" s="1794"/>
      <c r="AE48" s="1720"/>
      <c r="AF48" s="1814"/>
      <c r="AG48" s="1728"/>
      <c r="AH48" s="1797" t="s">
        <v>26</v>
      </c>
      <c r="AI48" s="1243"/>
      <c r="AJ48" s="1794"/>
      <c r="AK48" s="1728"/>
      <c r="AL48" s="1794"/>
      <c r="AM48" s="1728"/>
      <c r="AN48" s="1794"/>
      <c r="AO48" s="1720"/>
      <c r="AP48" s="2079"/>
      <c r="AQ48" s="1728"/>
      <c r="AR48" s="1797" t="s">
        <v>24</v>
      </c>
      <c r="AS48" s="1243"/>
      <c r="AT48" s="1797" t="s">
        <v>49</v>
      </c>
      <c r="AU48" s="1182"/>
      <c r="AV48" s="1751"/>
      <c r="AW48" s="2201"/>
      <c r="AX48" s="296"/>
      <c r="AY48" s="597"/>
    </row>
    <row r="49" spans="1:70" s="2" customFormat="1" ht="40.5" customHeight="1" x14ac:dyDescent="0.25">
      <c r="A49" s="1161" t="s">
        <v>9</v>
      </c>
      <c r="B49" s="2079"/>
      <c r="C49" s="1728"/>
      <c r="D49" s="1878"/>
      <c r="E49" s="1730"/>
      <c r="F49" s="1794"/>
      <c r="G49" s="1715"/>
      <c r="H49" s="2166"/>
      <c r="I49" s="1055"/>
      <c r="J49" s="1794"/>
      <c r="K49" s="1720"/>
      <c r="L49" s="1794"/>
      <c r="M49" s="1728"/>
      <c r="N49" s="1794"/>
      <c r="O49" s="1728"/>
      <c r="P49" s="1794"/>
      <c r="Q49" s="1728"/>
      <c r="R49" s="1794"/>
      <c r="S49" s="1728"/>
      <c r="T49" s="1794"/>
      <c r="U49" s="1720"/>
      <c r="V49" s="1794"/>
      <c r="W49" s="1728"/>
      <c r="X49" s="1794"/>
      <c r="Y49" s="1728"/>
      <c r="Z49" s="1751"/>
      <c r="AA49" s="2201"/>
      <c r="AB49" s="1797"/>
      <c r="AC49" s="1243"/>
      <c r="AD49" s="1794"/>
      <c r="AE49" s="1720"/>
      <c r="AF49" s="1814"/>
      <c r="AG49" s="1728"/>
      <c r="AH49" s="1797"/>
      <c r="AI49" s="1730"/>
      <c r="AJ49" s="1794"/>
      <c r="AK49" s="1740"/>
      <c r="AL49" s="1794"/>
      <c r="AM49" s="1728"/>
      <c r="AN49" s="1794"/>
      <c r="AO49" s="1720"/>
      <c r="AP49" s="2079"/>
      <c r="AQ49" s="1728"/>
      <c r="AR49" s="1797"/>
      <c r="AS49" s="1243"/>
      <c r="AT49" s="1797"/>
      <c r="AU49" s="1182"/>
      <c r="AV49" s="1751"/>
      <c r="AW49" s="2201"/>
      <c r="AX49" s="296"/>
      <c r="AY49" s="597"/>
      <c r="AZ49" s="184"/>
    </row>
    <row r="50" spans="1:70" s="2" customFormat="1" ht="40.5" customHeight="1" thickBot="1" x14ac:dyDescent="0.3">
      <c r="A50" s="1238"/>
      <c r="B50" s="2112"/>
      <c r="C50" s="2144"/>
      <c r="D50" s="1997"/>
      <c r="E50" s="2181"/>
      <c r="F50" s="2002"/>
      <c r="G50" s="1724"/>
      <c r="H50" s="2167"/>
      <c r="I50" s="1055"/>
      <c r="J50" s="2002"/>
      <c r="K50" s="1721"/>
      <c r="L50" s="2002"/>
      <c r="M50" s="2144"/>
      <c r="N50" s="2002"/>
      <c r="O50" s="2144"/>
      <c r="P50" s="2002"/>
      <c r="Q50" s="2144"/>
      <c r="R50" s="2002"/>
      <c r="S50" s="2144"/>
      <c r="T50" s="2002"/>
      <c r="U50" s="1721"/>
      <c r="V50" s="2002"/>
      <c r="W50" s="2144"/>
      <c r="X50" s="2002"/>
      <c r="Y50" s="2144"/>
      <c r="Z50" s="1882"/>
      <c r="AA50" s="2202"/>
      <c r="AB50" s="2001"/>
      <c r="AC50" s="1732"/>
      <c r="AD50" s="2002"/>
      <c r="AE50" s="1721"/>
      <c r="AF50" s="2016"/>
      <c r="AG50" s="2144"/>
      <c r="AH50" s="2001"/>
      <c r="AI50" s="1732"/>
      <c r="AJ50" s="2002"/>
      <c r="AK50" s="2144"/>
      <c r="AL50" s="2002"/>
      <c r="AM50" s="2144"/>
      <c r="AN50" s="2002"/>
      <c r="AO50" s="1721"/>
      <c r="AP50" s="2112"/>
      <c r="AQ50" s="2144"/>
      <c r="AR50" s="2001"/>
      <c r="AS50" s="1732"/>
      <c r="AT50" s="2001"/>
      <c r="AU50" s="1658"/>
      <c r="AV50" s="1882"/>
      <c r="AW50" s="2202"/>
      <c r="AX50" s="293"/>
      <c r="AY50" s="598"/>
    </row>
    <row r="51" spans="1:70" s="2" customFormat="1" ht="24.75" customHeight="1" thickBot="1" x14ac:dyDescent="0.3">
      <c r="A51" s="24" t="s">
        <v>1</v>
      </c>
      <c r="B51" s="975" t="s">
        <v>2</v>
      </c>
      <c r="C51" s="976"/>
      <c r="D51" s="976"/>
      <c r="E51" s="976"/>
      <c r="F51" s="976"/>
      <c r="G51" s="976"/>
      <c r="H51" s="976"/>
      <c r="I51" s="976"/>
      <c r="J51" s="976"/>
      <c r="K51" s="977"/>
      <c r="L51" s="975" t="s">
        <v>3</v>
      </c>
      <c r="M51" s="976"/>
      <c r="N51" s="976"/>
      <c r="O51" s="976"/>
      <c r="P51" s="976"/>
      <c r="Q51" s="976"/>
      <c r="R51" s="976"/>
      <c r="S51" s="976"/>
      <c r="T51" s="976"/>
      <c r="U51" s="977"/>
      <c r="V51" s="975" t="s">
        <v>135</v>
      </c>
      <c r="W51" s="976"/>
      <c r="X51" s="976"/>
      <c r="Y51" s="976"/>
      <c r="Z51" s="976"/>
      <c r="AA51" s="976"/>
      <c r="AB51" s="976"/>
      <c r="AC51" s="976"/>
      <c r="AD51" s="976"/>
      <c r="AE51" s="977"/>
      <c r="AF51" s="975" t="s">
        <v>4</v>
      </c>
      <c r="AG51" s="976"/>
      <c r="AH51" s="976"/>
      <c r="AI51" s="976"/>
      <c r="AJ51" s="976"/>
      <c r="AK51" s="976"/>
      <c r="AL51" s="976"/>
      <c r="AM51" s="976"/>
      <c r="AN51" s="976"/>
      <c r="AO51" s="977"/>
      <c r="AP51" s="975" t="s">
        <v>5</v>
      </c>
      <c r="AQ51" s="976"/>
      <c r="AR51" s="976"/>
      <c r="AS51" s="976"/>
      <c r="AT51" s="976"/>
      <c r="AU51" s="976"/>
      <c r="AV51" s="976"/>
      <c r="AW51" s="976"/>
      <c r="AX51" s="976"/>
      <c r="AY51" s="977"/>
      <c r="BQ51" s="135"/>
      <c r="BR51" s="1926"/>
    </row>
    <row r="52" spans="1:70" ht="36.75" customHeight="1" x14ac:dyDescent="0.25">
      <c r="A52" s="1161" t="s">
        <v>182</v>
      </c>
      <c r="B52" s="915"/>
      <c r="C52" s="916"/>
      <c r="D52" s="916"/>
      <c r="E52" s="916"/>
      <c r="F52" s="916"/>
      <c r="G52" s="916"/>
      <c r="H52" s="916"/>
      <c r="I52" s="916"/>
      <c r="J52" s="916"/>
      <c r="K52" s="917"/>
      <c r="L52" s="587"/>
      <c r="M52" s="806"/>
      <c r="N52" s="587"/>
      <c r="O52" s="806"/>
      <c r="P52" s="587"/>
      <c r="Q52" s="806"/>
      <c r="R52" s="241"/>
      <c r="S52" s="810"/>
      <c r="T52" s="457"/>
      <c r="U52" s="838"/>
      <c r="V52" s="224"/>
      <c r="W52" s="1909"/>
      <c r="X52" s="587"/>
      <c r="Y52" s="835"/>
      <c r="Z52" s="849" t="s">
        <v>571</v>
      </c>
      <c r="AA52" s="2163" t="s">
        <v>160</v>
      </c>
      <c r="AB52" s="69"/>
      <c r="AC52" s="806"/>
      <c r="AD52" s="813"/>
      <c r="AE52" s="811"/>
      <c r="AF52" s="848" t="s">
        <v>569</v>
      </c>
      <c r="AG52" s="2163" t="s">
        <v>160</v>
      </c>
      <c r="AH52" s="587"/>
      <c r="AI52" s="806"/>
      <c r="AJ52" s="587"/>
      <c r="AK52" s="806"/>
      <c r="AN52" s="587"/>
      <c r="AO52" s="664"/>
      <c r="AP52" s="587"/>
      <c r="AQ52" s="806"/>
      <c r="AR52" s="69"/>
      <c r="AS52" s="806"/>
      <c r="AT52" s="69"/>
      <c r="AU52" s="806"/>
      <c r="AV52" s="587"/>
      <c r="AW52" s="806"/>
      <c r="AX52" s="813"/>
      <c r="AY52" s="811"/>
      <c r="AZ52" s="33"/>
      <c r="BA52" s="1963"/>
      <c r="BB52" s="1955"/>
      <c r="BJ52" s="2"/>
      <c r="BK52" s="2"/>
      <c r="BQ52" s="1713"/>
      <c r="BR52" s="1793"/>
    </row>
    <row r="53" spans="1:70" ht="33.75" customHeight="1" x14ac:dyDescent="0.25">
      <c r="A53" s="1161"/>
      <c r="B53" s="805"/>
      <c r="C53" s="587"/>
      <c r="D53" s="587"/>
      <c r="E53" s="587"/>
      <c r="F53" s="587"/>
      <c r="G53" s="587"/>
      <c r="H53" s="587"/>
      <c r="I53" s="587"/>
      <c r="J53" s="587"/>
      <c r="K53" s="918"/>
      <c r="L53" s="587"/>
      <c r="M53" s="806"/>
      <c r="N53" s="587"/>
      <c r="O53" s="806"/>
      <c r="P53" s="587"/>
      <c r="Q53" s="806"/>
      <c r="R53" s="241"/>
      <c r="S53" s="810"/>
      <c r="T53" s="241"/>
      <c r="U53" s="839"/>
      <c r="V53" s="1933"/>
      <c r="W53" s="1910"/>
      <c r="X53" s="587"/>
      <c r="Y53" s="806"/>
      <c r="Z53" s="2166" t="s">
        <v>27</v>
      </c>
      <c r="AA53" s="2164"/>
      <c r="AB53" s="69"/>
      <c r="AC53" s="806"/>
      <c r="AD53" s="813"/>
      <c r="AE53" s="807"/>
      <c r="AF53" s="2188" t="s">
        <v>27</v>
      </c>
      <c r="AG53" s="2164"/>
      <c r="AH53" s="587"/>
      <c r="AI53" s="806"/>
      <c r="AJ53" s="587"/>
      <c r="AK53" s="806"/>
      <c r="AN53" s="587"/>
      <c r="AO53" s="806"/>
      <c r="AP53" s="805"/>
      <c r="AQ53" s="806"/>
      <c r="AR53" s="69"/>
      <c r="AS53" s="806"/>
      <c r="AT53" s="69"/>
      <c r="AU53" s="806"/>
      <c r="AV53" s="587"/>
      <c r="AW53" s="806"/>
      <c r="AX53" s="813"/>
      <c r="AY53" s="807"/>
      <c r="BA53" s="1963"/>
      <c r="BB53" s="1955"/>
      <c r="BJ53" s="2"/>
      <c r="BK53" s="2"/>
      <c r="BQ53" s="1713"/>
      <c r="BR53" s="1793"/>
    </row>
    <row r="54" spans="1:70" ht="35.25" customHeight="1" thickBot="1" x14ac:dyDescent="0.3">
      <c r="A54" s="1161" t="s">
        <v>184</v>
      </c>
      <c r="B54" s="805"/>
      <c r="C54" s="587"/>
      <c r="E54" s="587"/>
      <c r="F54" s="587"/>
      <c r="G54" s="587"/>
      <c r="H54" s="587"/>
      <c r="I54" s="587"/>
      <c r="J54" s="587"/>
      <c r="K54" s="918"/>
      <c r="L54" s="596"/>
      <c r="M54" s="596"/>
      <c r="N54" s="596"/>
      <c r="O54" s="596"/>
      <c r="P54" s="596"/>
      <c r="Q54" s="596"/>
      <c r="R54" s="79"/>
      <c r="S54" s="79"/>
      <c r="T54" s="241"/>
      <c r="U54" s="839"/>
      <c r="V54" s="1933"/>
      <c r="W54" s="1910"/>
      <c r="X54" s="596"/>
      <c r="Y54" s="596"/>
      <c r="Z54" s="2166"/>
      <c r="AA54" s="2164"/>
      <c r="AB54" s="79"/>
      <c r="AC54" s="79"/>
      <c r="AD54" s="79"/>
      <c r="AE54" s="409"/>
      <c r="AF54" s="2188"/>
      <c r="AG54" s="2164"/>
      <c r="AH54" s="596"/>
      <c r="AI54" s="596"/>
      <c r="AJ54" s="596"/>
      <c r="AK54" s="596"/>
      <c r="AN54" s="79"/>
      <c r="AO54" s="409"/>
      <c r="AP54" s="596"/>
      <c r="AQ54" s="596"/>
      <c r="AR54" s="596"/>
      <c r="AS54" s="596"/>
      <c r="AT54" s="596"/>
      <c r="AU54" s="596"/>
      <c r="AV54" s="79"/>
      <c r="AW54" s="79"/>
      <c r="AX54" s="79"/>
      <c r="AY54" s="409"/>
      <c r="BJ54" s="2"/>
      <c r="BK54" s="2"/>
      <c r="BQ54" s="1713"/>
      <c r="BR54" s="1927"/>
    </row>
    <row r="55" spans="1:70" ht="40.5" customHeight="1" thickBot="1" x14ac:dyDescent="0.3">
      <c r="A55" s="1161"/>
      <c r="B55" s="919"/>
      <c r="C55" s="901"/>
      <c r="D55" s="901"/>
      <c r="E55" s="901"/>
      <c r="F55" s="901"/>
      <c r="G55" s="901"/>
      <c r="H55" s="901"/>
      <c r="J55" s="901"/>
      <c r="K55" s="920"/>
      <c r="L55" s="837"/>
      <c r="M55" s="596"/>
      <c r="N55" s="596"/>
      <c r="O55" s="596"/>
      <c r="P55" s="596"/>
      <c r="Q55" s="596"/>
      <c r="R55" s="80"/>
      <c r="S55" s="79"/>
      <c r="T55" s="840"/>
      <c r="U55" s="839"/>
      <c r="V55" s="1933"/>
      <c r="W55" s="1911"/>
      <c r="X55" s="671"/>
      <c r="Y55" s="845"/>
      <c r="Z55" s="2167"/>
      <c r="AA55" s="2165"/>
      <c r="AB55" s="846"/>
      <c r="AC55" s="79"/>
      <c r="AD55" s="80"/>
      <c r="AE55" s="409"/>
      <c r="AF55" s="2189"/>
      <c r="AG55" s="2165"/>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2071" t="s">
        <v>1012</v>
      </c>
      <c r="AR58" s="1964"/>
      <c r="AS58" s="1964"/>
      <c r="AT58" s="1964"/>
      <c r="AU58" s="2180"/>
      <c r="AV58" s="1091"/>
      <c r="AW58" s="1091"/>
      <c r="AX58" s="1091"/>
    </row>
    <row r="59" spans="1:70" s="104" customFormat="1" ht="18.75" customHeight="1" x14ac:dyDescent="0.25">
      <c r="A59" s="2146" t="s">
        <v>214</v>
      </c>
      <c r="B59" s="2147"/>
      <c r="C59" s="2146" t="s">
        <v>215</v>
      </c>
      <c r="D59" s="2154"/>
      <c r="E59" s="2154"/>
      <c r="F59" s="2154"/>
      <c r="G59" s="2154"/>
      <c r="H59" s="2154"/>
      <c r="I59" s="2154"/>
      <c r="J59" s="2154"/>
      <c r="K59" s="2154"/>
      <c r="L59" s="2154"/>
      <c r="M59" s="2154"/>
      <c r="N59" s="2154"/>
      <c r="O59" s="2154"/>
      <c r="P59" s="182"/>
      <c r="Q59" s="182"/>
      <c r="R59" s="2146" t="s">
        <v>293</v>
      </c>
      <c r="S59" s="2147"/>
      <c r="T59" s="2146" t="s">
        <v>139</v>
      </c>
      <c r="U59" s="2147"/>
      <c r="V59" s="2157" t="s">
        <v>163</v>
      </c>
      <c r="W59" s="2158"/>
      <c r="X59" s="2158"/>
      <c r="Y59" s="2158"/>
      <c r="Z59" s="2158"/>
      <c r="AA59" s="2158"/>
      <c r="AB59" s="2158"/>
      <c r="AC59" s="2158"/>
      <c r="AD59" s="2158"/>
      <c r="AE59" s="2158"/>
      <c r="AF59" s="2158"/>
      <c r="AG59" s="2158"/>
      <c r="AH59" s="2158"/>
      <c r="AI59" s="2158"/>
      <c r="AJ59" s="2158"/>
      <c r="AK59" s="2158"/>
      <c r="AL59" s="2158"/>
      <c r="AM59" s="2158"/>
      <c r="AN59" s="2158"/>
      <c r="AO59" s="2159"/>
      <c r="AQ59" s="951"/>
      <c r="AR59" s="952"/>
      <c r="AS59" s="952"/>
      <c r="AT59" s="952"/>
      <c r="AU59" s="2180"/>
      <c r="AV59" s="1091"/>
      <c r="AW59" s="1091"/>
      <c r="AX59" s="1091"/>
      <c r="AY59"/>
    </row>
    <row r="60" spans="1:70" s="104" customFormat="1" ht="13.8" x14ac:dyDescent="0.25">
      <c r="A60" s="1188" t="str">
        <f>VLOOKUP(R60,ASIGNATURAS!$F$1:$L$1022, 3, FALSE)</f>
        <v>AMP. CALCULO</v>
      </c>
      <c r="B60" s="1203"/>
      <c r="C60" s="2006" t="str">
        <f>VLOOKUP(R60,ASIGNATURAS!$F$1:$L$1022, 4, FALSE)</f>
        <v>Ampliación de Cálculo y Geometría</v>
      </c>
      <c r="D60" s="1177"/>
      <c r="E60" s="1177"/>
      <c r="F60" s="1177"/>
      <c r="G60" s="1177"/>
      <c r="H60" s="1177"/>
      <c r="I60" s="1177"/>
      <c r="J60" s="1177"/>
      <c r="K60" s="1177"/>
      <c r="L60" s="1177"/>
      <c r="M60" s="1177"/>
      <c r="N60" s="1177"/>
      <c r="O60" s="1177"/>
      <c r="P60" s="1177"/>
      <c r="Q60" s="981"/>
      <c r="R60" s="2145">
        <v>6307</v>
      </c>
      <c r="S60" s="936"/>
      <c r="T60" s="2145">
        <f>VLOOKUP(R60,ASIGNATURAS!$F$1:$L$1022, 5, FALSE)</f>
        <v>6</v>
      </c>
      <c r="U60" s="936"/>
      <c r="V60" s="2185" t="str">
        <f>VLOOKUP(R60,ASIGNATURAS!$F$1:$L$1022, 6, FALSE)</f>
        <v>Iván Gutiérrez</v>
      </c>
      <c r="W60" s="2186"/>
      <c r="X60" s="2186"/>
      <c r="Y60" s="2186"/>
      <c r="Z60" s="2186"/>
      <c r="AA60" s="2186"/>
      <c r="AB60" s="2186"/>
      <c r="AC60" s="2186"/>
      <c r="AD60" s="2186"/>
      <c r="AE60" s="2186"/>
      <c r="AF60" s="2186"/>
      <c r="AG60" s="2186"/>
      <c r="AH60" s="2186"/>
      <c r="AI60" s="2186"/>
      <c r="AJ60" s="2186"/>
      <c r="AK60" s="2186"/>
      <c r="AL60" s="2186"/>
      <c r="AM60" s="2186"/>
      <c r="AN60" s="2186"/>
      <c r="AO60" s="2187"/>
      <c r="AQ60" s="1883" t="s">
        <v>1008</v>
      </c>
      <c r="AR60" s="1884"/>
      <c r="AS60" s="1884"/>
      <c r="AT60" s="1884"/>
      <c r="AU60" s="2210"/>
      <c r="AV60" s="2211"/>
      <c r="AW60" s="2211"/>
      <c r="AX60" s="2211"/>
      <c r="AY60"/>
    </row>
    <row r="61" spans="1:70" s="104" customFormat="1" ht="13.8" x14ac:dyDescent="0.25">
      <c r="A61" s="1188" t="str">
        <f>VLOOKUP(R61,ASIGNATURAS!$F$1:$L$1022, 3, FALSE)</f>
        <v>INFORMATICA</v>
      </c>
      <c r="B61" s="1203"/>
      <c r="C61" s="2006" t="str">
        <f>VLOOKUP(R61,ASIGNATURAS!$F$1:$L$1022, 4, FALSE)</f>
        <v>Informática Básica</v>
      </c>
      <c r="D61" s="1177"/>
      <c r="E61" s="1177"/>
      <c r="F61" s="1177"/>
      <c r="G61" s="1177"/>
      <c r="H61" s="1177"/>
      <c r="I61" s="1177"/>
      <c r="J61" s="1177"/>
      <c r="K61" s="1177"/>
      <c r="L61" s="1177"/>
      <c r="M61" s="1177"/>
      <c r="N61" s="1177"/>
      <c r="O61" s="1177"/>
      <c r="P61" s="1177"/>
      <c r="Q61" s="981"/>
      <c r="R61" s="2145">
        <v>6308</v>
      </c>
      <c r="S61" s="936"/>
      <c r="T61" s="2145">
        <f>VLOOKUP(R61,ASIGNATURAS!$F$1:$L$1022, 5, FALSE)</f>
        <v>6</v>
      </c>
      <c r="U61" s="936"/>
      <c r="V61" s="2185" t="str">
        <f>VLOOKUP(R61,ASIGNATURAS!$F$1:$L$1022, 6, FALSE)</f>
        <v>Beatriz Gil, Belen Vaquerizo</v>
      </c>
      <c r="W61" s="2186"/>
      <c r="X61" s="2186"/>
      <c r="Y61" s="2186"/>
      <c r="Z61" s="2186"/>
      <c r="AA61" s="2186"/>
      <c r="AB61" s="2186"/>
      <c r="AC61" s="2186"/>
      <c r="AD61" s="2186"/>
      <c r="AE61" s="2186"/>
      <c r="AF61" s="2186"/>
      <c r="AG61" s="2186"/>
      <c r="AH61" s="2186"/>
      <c r="AI61" s="2186"/>
      <c r="AJ61" s="2186"/>
      <c r="AK61" s="2186"/>
      <c r="AL61" s="2186"/>
      <c r="AM61" s="2186"/>
      <c r="AN61" s="2186"/>
      <c r="AO61" s="2187"/>
      <c r="AQ61" s="2076" t="s">
        <v>569</v>
      </c>
      <c r="AR61" s="2077"/>
      <c r="AS61" s="2077"/>
      <c r="AT61" s="2078"/>
      <c r="AU61" s="1170"/>
      <c r="AV61" s="1170"/>
      <c r="AW61" s="1170"/>
      <c r="AX61" s="1170"/>
      <c r="AY61"/>
    </row>
    <row r="62" spans="1:70" s="104" customFormat="1" ht="13.8" x14ac:dyDescent="0.25">
      <c r="A62" s="1188" t="str">
        <f>VLOOKUP(R62,ASIGNATURAS!$F$1:$L$1022, 3, FALSE)</f>
        <v>FISICA II</v>
      </c>
      <c r="B62" s="1203"/>
      <c r="C62" s="2006" t="str">
        <f>VLOOKUP(R62,ASIGNATURAS!$F$1:$L$1022, 4, FALSE)</f>
        <v>Física II</v>
      </c>
      <c r="D62" s="1177"/>
      <c r="E62" s="1177"/>
      <c r="F62" s="1177"/>
      <c r="G62" s="1177"/>
      <c r="H62" s="1177"/>
      <c r="I62" s="1177"/>
      <c r="J62" s="1177"/>
      <c r="K62" s="1177"/>
      <c r="L62" s="1177"/>
      <c r="M62" s="1177"/>
      <c r="N62" s="1177"/>
      <c r="O62" s="1177"/>
      <c r="P62" s="1177"/>
      <c r="Q62" s="981"/>
      <c r="R62" s="2145">
        <v>6309</v>
      </c>
      <c r="S62" s="936"/>
      <c r="T62" s="2145">
        <f>VLOOKUP(R62,ASIGNATURAS!$F$1:$L$1022, 5, FALSE)</f>
        <v>6</v>
      </c>
      <c r="U62" s="936"/>
      <c r="V62" s="2185" t="str">
        <f>VLOOKUP(R62,ASIGNATURAS!$F$1:$L$1022, 6, FALSE)</f>
        <v>Mª Isabel Blanco, Mª Felicidad Bógalo, Manuel Iván González</v>
      </c>
      <c r="W62" s="2186"/>
      <c r="X62" s="2186"/>
      <c r="Y62" s="2186"/>
      <c r="Z62" s="2186"/>
      <c r="AA62" s="2186"/>
      <c r="AB62" s="2186"/>
      <c r="AC62" s="2186"/>
      <c r="AD62" s="2186"/>
      <c r="AE62" s="2186"/>
      <c r="AF62" s="2186"/>
      <c r="AG62" s="2186"/>
      <c r="AH62" s="2186"/>
      <c r="AI62" s="2186"/>
      <c r="AJ62" s="2186"/>
      <c r="AK62" s="2186"/>
      <c r="AL62" s="2186"/>
      <c r="AM62" s="2186"/>
      <c r="AN62" s="2186"/>
      <c r="AO62" s="2187"/>
      <c r="AQ62" s="2076" t="s">
        <v>570</v>
      </c>
      <c r="AR62" s="2077"/>
      <c r="AS62" s="2077"/>
      <c r="AT62" s="2077"/>
      <c r="AU62" s="1995"/>
      <c r="AV62" s="1170"/>
      <c r="AW62" s="1170"/>
      <c r="AX62" s="1170"/>
      <c r="AY62"/>
    </row>
    <row r="63" spans="1:70" s="104" customFormat="1" ht="15" customHeight="1" x14ac:dyDescent="0.25">
      <c r="A63" s="1188" t="str">
        <f>VLOOKUP(R63,ASIGNATURAS!$F$1:$L$1022, 3, FALSE)</f>
        <v>MATERIALES</v>
      </c>
      <c r="B63" s="1203"/>
      <c r="C63" s="2006" t="str">
        <f>VLOOKUP(R63,ASIGNATURAS!$F$1:$L$1022, 4, FALSE)</f>
        <v>Ciencia de Materiales: Est. y propiedades</v>
      </c>
      <c r="D63" s="1177"/>
      <c r="E63" s="1177"/>
      <c r="F63" s="1177"/>
      <c r="G63" s="1177"/>
      <c r="H63" s="1177"/>
      <c r="I63" s="1177"/>
      <c r="J63" s="1177"/>
      <c r="K63" s="1177"/>
      <c r="L63" s="1177"/>
      <c r="M63" s="1177"/>
      <c r="N63" s="1177"/>
      <c r="O63" s="1177"/>
      <c r="P63" s="1177"/>
      <c r="Q63" s="981"/>
      <c r="R63" s="2145">
        <v>6310</v>
      </c>
      <c r="S63" s="936"/>
      <c r="T63" s="2145">
        <f>VLOOKUP(R63,ASIGNATURAS!$F$1:$L$1022, 5, FALSE)</f>
        <v>6</v>
      </c>
      <c r="U63" s="936"/>
      <c r="V63" s="2185" t="str">
        <f>VLOOKUP(R63,ASIGNATURAS!$F$1:$L$1022, 6, FALSE)</f>
        <v>José Calaf Chica, David Cárdenas</v>
      </c>
      <c r="W63" s="2186"/>
      <c r="X63" s="2186"/>
      <c r="Y63" s="2186"/>
      <c r="Z63" s="2186"/>
      <c r="AA63" s="2186"/>
      <c r="AB63" s="2186"/>
      <c r="AC63" s="2186"/>
      <c r="AD63" s="2186"/>
      <c r="AE63" s="2186"/>
      <c r="AF63" s="2186"/>
      <c r="AG63" s="2186"/>
      <c r="AH63" s="2186"/>
      <c r="AI63" s="2186"/>
      <c r="AJ63" s="2186"/>
      <c r="AK63" s="2186"/>
      <c r="AL63" s="2186"/>
      <c r="AM63" s="2186"/>
      <c r="AN63" s="2186"/>
      <c r="AO63" s="2187"/>
      <c r="AP63" s="852"/>
      <c r="AQ63" s="2182" t="s">
        <v>571</v>
      </c>
      <c r="AR63" s="1780"/>
      <c r="AS63" s="1780"/>
      <c r="AT63" s="2183"/>
      <c r="AU63" s="1995"/>
      <c r="AV63" s="1170"/>
      <c r="AW63" s="1170"/>
      <c r="AX63" s="1170"/>
      <c r="AY63"/>
    </row>
    <row r="64" spans="1:70" s="104" customFormat="1" ht="14.25" customHeight="1" thickBot="1" x14ac:dyDescent="0.3">
      <c r="A64" s="1201" t="str">
        <f>VLOOKUP(R64,ASIGNATURAS!$F$1:$L$1022, 3, FALSE)</f>
        <v>ECONOMIA</v>
      </c>
      <c r="B64" s="1202"/>
      <c r="C64" s="1748" t="str">
        <f>VLOOKUP(R64,ASIGNATURAS!$F$1:$L$1022, 4, FALSE)</f>
        <v>Economía de la Empresa</v>
      </c>
      <c r="D64" s="1749"/>
      <c r="E64" s="1749"/>
      <c r="F64" s="1749"/>
      <c r="G64" s="1749"/>
      <c r="H64" s="1749"/>
      <c r="I64" s="1749"/>
      <c r="J64" s="1749"/>
      <c r="K64" s="1749"/>
      <c r="L64" s="1749"/>
      <c r="M64" s="1749"/>
      <c r="N64" s="1749"/>
      <c r="O64" s="1749"/>
      <c r="P64" s="1749"/>
      <c r="Q64" s="1022"/>
      <c r="R64" s="2203">
        <v>6311</v>
      </c>
      <c r="S64" s="1295"/>
      <c r="T64" s="2203">
        <f>VLOOKUP(R64,ASIGNATURAS!$F$1:$L$1022, 5, FALSE)</f>
        <v>6</v>
      </c>
      <c r="U64" s="1295"/>
      <c r="V64" s="2148" t="str">
        <f>VLOOKUP(R64,ASIGNATURAS!$F$1:$L$1022, 6, FALSE)</f>
        <v>Juan Mª Espinosa, Rosario González</v>
      </c>
      <c r="W64" s="2149"/>
      <c r="X64" s="2149"/>
      <c r="Y64" s="2149"/>
      <c r="Z64" s="2149"/>
      <c r="AA64" s="2149"/>
      <c r="AB64" s="2149"/>
      <c r="AC64" s="2149"/>
      <c r="AD64" s="2149"/>
      <c r="AE64" s="2149"/>
      <c r="AF64" s="2149"/>
      <c r="AG64" s="2149"/>
      <c r="AH64" s="2149"/>
      <c r="AI64" s="2149"/>
      <c r="AJ64" s="2149"/>
      <c r="AK64" s="2149"/>
      <c r="AL64" s="2149"/>
      <c r="AM64" s="2149"/>
      <c r="AN64" s="2149"/>
      <c r="AO64" s="2150"/>
      <c r="AQ64" s="1779" t="s">
        <v>572</v>
      </c>
      <c r="AR64" s="1780"/>
      <c r="AS64" s="1780"/>
      <c r="AT64" s="1781"/>
      <c r="AU64" s="1170"/>
      <c r="AV64" s="1170"/>
      <c r="AW64" s="1170"/>
      <c r="AX64" s="1170"/>
      <c r="AY64"/>
    </row>
    <row r="65" spans="1:109" ht="29.25" customHeight="1" thickBot="1" x14ac:dyDescent="0.3"/>
    <row r="66" spans="1:109" s="1" customFormat="1" ht="31.5" customHeight="1" thickBot="1" x14ac:dyDescent="0.45">
      <c r="A66" s="1135" t="str">
        <f>VLOOKUP(A69,ASIGNATURAS!$A$2:$D$151, 3, FALSE)</f>
        <v>2º Grado en Ingeniería Mecánica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Aulas!G5</f>
        <v>Curso 2024-2025</v>
      </c>
      <c r="AQ66" s="1065"/>
      <c r="AR66" s="1065"/>
      <c r="AS66" s="1065"/>
      <c r="AT66" s="1065"/>
      <c r="AU66" s="1065"/>
      <c r="AV66" s="1065"/>
      <c r="AW66" s="1065"/>
      <c r="AX66" s="1065"/>
      <c r="AY66" s="1066"/>
    </row>
    <row r="67" spans="1:109" s="8" customFormat="1" ht="23.25" customHeight="1" thickBot="1" x14ac:dyDescent="0.45">
      <c r="A67" s="1132" t="str">
        <f>VLOOKUP(A69,ASIGNATURAS!$A$2:$D$151, 2, FALSE)</f>
        <v>Semestre temporal: 1º        (3º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147</v>
      </c>
      <c r="AQ67" s="1013"/>
      <c r="AR67" s="1013"/>
      <c r="AS67" s="1013"/>
      <c r="AT67" s="1013"/>
      <c r="AU67" s="1013"/>
      <c r="AV67" s="1013"/>
      <c r="AW67" s="1013"/>
      <c r="AX67" s="1013"/>
      <c r="AY67" s="1014"/>
    </row>
    <row r="68" spans="1:109" s="8" customFormat="1" ht="23.25" customHeight="1" thickBot="1" x14ac:dyDescent="0.45">
      <c r="A68" s="1132" t="s">
        <v>177</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109" ht="27.75" customHeight="1" thickBot="1" x14ac:dyDescent="0.3">
      <c r="A69" s="9" t="s">
        <v>16</v>
      </c>
    </row>
    <row r="70" spans="1:109" s="2" customFormat="1" ht="24" customHeight="1" thickBot="1" x14ac:dyDescent="0.3">
      <c r="A70" s="19" t="s">
        <v>1</v>
      </c>
      <c r="B70" s="1064" t="s">
        <v>2</v>
      </c>
      <c r="C70" s="1065"/>
      <c r="D70" s="1065"/>
      <c r="E70" s="1065"/>
      <c r="F70" s="1065"/>
      <c r="G70" s="1065"/>
      <c r="H70" s="1065"/>
      <c r="I70" s="1065"/>
      <c r="J70" s="1065"/>
      <c r="K70" s="1066"/>
      <c r="L70" s="1064" t="s">
        <v>3</v>
      </c>
      <c r="M70" s="1065"/>
      <c r="N70" s="1065"/>
      <c r="O70" s="1065"/>
      <c r="P70" s="1065"/>
      <c r="Q70" s="1065"/>
      <c r="R70" s="1065"/>
      <c r="S70" s="1065"/>
      <c r="T70" s="1065"/>
      <c r="U70" s="1066"/>
      <c r="V70" s="1064" t="s">
        <v>135</v>
      </c>
      <c r="W70" s="1065"/>
      <c r="X70" s="1065"/>
      <c r="Y70" s="1065"/>
      <c r="Z70" s="1065"/>
      <c r="AA70" s="1065"/>
      <c r="AB70" s="1065"/>
      <c r="AC70" s="1065"/>
      <c r="AD70" s="1065"/>
      <c r="AE70" s="1066"/>
      <c r="AF70" s="1064" t="s">
        <v>4</v>
      </c>
      <c r="AG70" s="1065"/>
      <c r="AH70" s="1065"/>
      <c r="AI70" s="1065"/>
      <c r="AJ70" s="1065"/>
      <c r="AK70" s="1065"/>
      <c r="AL70" s="1065"/>
      <c r="AM70" s="1065"/>
      <c r="AN70" s="1065"/>
      <c r="AO70" s="1066"/>
      <c r="AP70" s="1064" t="s">
        <v>5</v>
      </c>
      <c r="AQ70" s="1065"/>
      <c r="AR70" s="1065"/>
      <c r="AS70" s="1065"/>
      <c r="AT70" s="1065"/>
      <c r="AU70" s="1065"/>
      <c r="AV70" s="1065"/>
      <c r="AW70" s="1065"/>
      <c r="AX70" s="1065"/>
      <c r="AY70" s="1066"/>
      <c r="BH70" s="2021"/>
      <c r="BI70" s="2021"/>
      <c r="BJ70" s="2021"/>
      <c r="BK70" s="2021"/>
      <c r="BL70" s="2021"/>
      <c r="BM70" s="2021"/>
      <c r="BN70" s="2021"/>
      <c r="BO70" s="2021"/>
      <c r="BP70" s="2021"/>
      <c r="BQ70" s="2021"/>
      <c r="BR70" s="2021"/>
      <c r="BS70" s="2021"/>
      <c r="BT70" s="2021"/>
      <c r="BU70" s="2021"/>
      <c r="BV70" s="2021"/>
      <c r="BW70" s="2021"/>
      <c r="BX70" s="2021"/>
      <c r="BY70" s="2021"/>
      <c r="BZ70" s="2021"/>
      <c r="CA70" s="2021"/>
      <c r="CB70" s="2021"/>
      <c r="CC70" s="2021"/>
      <c r="CD70" s="2021"/>
      <c r="CE70" s="2021"/>
      <c r="CF70" s="2021"/>
      <c r="CG70" s="2021"/>
      <c r="CH70" s="2021"/>
      <c r="CI70" s="2021"/>
      <c r="CJ70" s="2021"/>
      <c r="CK70" s="2021"/>
      <c r="CL70" s="2021"/>
      <c r="CM70" s="2021"/>
      <c r="CN70" s="2021"/>
      <c r="CO70" s="2021"/>
      <c r="CP70" s="2021"/>
      <c r="CQ70" s="2021"/>
      <c r="CR70" s="2021"/>
      <c r="CS70" s="2021"/>
      <c r="CT70" s="2021"/>
      <c r="CU70" s="2021"/>
      <c r="CV70" s="2021"/>
      <c r="CW70" s="2021"/>
      <c r="CX70" s="2021"/>
      <c r="CY70" s="2021"/>
      <c r="CZ70" s="2021"/>
      <c r="DA70" s="2021"/>
      <c r="DB70" s="2021"/>
      <c r="DC70" s="2021"/>
      <c r="DD70" s="2021"/>
      <c r="DE70" s="2021"/>
    </row>
    <row r="71" spans="1:109" s="2" customFormat="1" ht="83.25" customHeight="1" thickBot="1" x14ac:dyDescent="0.3">
      <c r="A71" s="922" t="s">
        <v>1091</v>
      </c>
      <c r="B71" s="1998" t="s">
        <v>1309</v>
      </c>
      <c r="C71" s="1999"/>
      <c r="D71" s="1999"/>
      <c r="E71" s="1999"/>
      <c r="F71" s="1999"/>
      <c r="G71" s="1999"/>
      <c r="H71" s="2012" t="s">
        <v>147</v>
      </c>
      <c r="I71" s="2012"/>
      <c r="J71" s="2012"/>
      <c r="K71" s="2013"/>
      <c r="L71" s="1998" t="s">
        <v>1309</v>
      </c>
      <c r="M71" s="1999"/>
      <c r="N71" s="1999"/>
      <c r="O71" s="1999"/>
      <c r="P71" s="1999"/>
      <c r="Q71" s="1999"/>
      <c r="R71" s="2012" t="s">
        <v>147</v>
      </c>
      <c r="S71" s="2012"/>
      <c r="T71" s="2012"/>
      <c r="U71" s="2013"/>
      <c r="V71" s="1970" t="s">
        <v>96</v>
      </c>
      <c r="W71" s="1971"/>
      <c r="X71" s="1971"/>
      <c r="Y71" s="1971"/>
      <c r="Z71" s="1971"/>
      <c r="AA71" s="1971"/>
      <c r="AB71" s="2012" t="s">
        <v>147</v>
      </c>
      <c r="AC71" s="2012"/>
      <c r="AD71" s="2012"/>
      <c r="AE71" s="2013"/>
      <c r="AF71" s="1998" t="s">
        <v>28</v>
      </c>
      <c r="AG71" s="1999"/>
      <c r="AH71" s="1999"/>
      <c r="AI71" s="1999"/>
      <c r="AJ71" s="1999"/>
      <c r="AK71" s="1999"/>
      <c r="AL71" s="2012" t="s">
        <v>147</v>
      </c>
      <c r="AM71" s="2012"/>
      <c r="AN71" s="2012"/>
      <c r="AO71" s="2013"/>
      <c r="AP71" s="1998" t="s">
        <v>29</v>
      </c>
      <c r="AQ71" s="1999"/>
      <c r="AR71" s="1999"/>
      <c r="AS71" s="1999"/>
      <c r="AT71" s="1999"/>
      <c r="AU71" s="1999"/>
      <c r="AV71" s="2012" t="s">
        <v>147</v>
      </c>
      <c r="AW71" s="2012"/>
      <c r="AX71" s="2012"/>
      <c r="AY71" s="2013"/>
      <c r="BH71" s="481"/>
      <c r="BI71" s="1730"/>
      <c r="BJ71" s="481"/>
      <c r="BK71" s="1730"/>
      <c r="BL71" s="472"/>
      <c r="BM71" s="1740"/>
      <c r="BN71" s="573"/>
      <c r="BO71" s="2018"/>
      <c r="BP71" s="573"/>
      <c r="BQ71" s="2018"/>
      <c r="BR71" s="481"/>
      <c r="BS71" s="1730"/>
      <c r="BT71" s="481"/>
      <c r="BU71" s="1730"/>
      <c r="BV71" s="472"/>
      <c r="BW71" s="1740"/>
      <c r="BX71" s="573"/>
      <c r="BY71" s="2018"/>
      <c r="BZ71" s="573"/>
      <c r="CA71" s="2018"/>
      <c r="CB71" s="481"/>
      <c r="CC71" s="1730"/>
      <c r="CD71" s="481"/>
      <c r="CE71" s="1730"/>
      <c r="CF71" s="472"/>
      <c r="CG71" s="1740"/>
      <c r="CH71" s="573"/>
      <c r="CI71" s="2018"/>
      <c r="CJ71" s="574"/>
      <c r="CK71" s="2024"/>
      <c r="CL71" s="481"/>
      <c r="CM71" s="1730"/>
      <c r="CN71" s="481"/>
      <c r="CO71" s="1730"/>
      <c r="CP71" s="481"/>
      <c r="CQ71" s="1730"/>
      <c r="CR71" s="573"/>
      <c r="CS71" s="2018"/>
      <c r="CT71" s="573"/>
      <c r="CU71" s="2018"/>
      <c r="CV71" s="481"/>
      <c r="CW71" s="1730"/>
      <c r="CX71" s="481"/>
      <c r="CY71" s="1730"/>
      <c r="CZ71" s="472"/>
      <c r="DA71" s="1740"/>
      <c r="DB71" s="574"/>
      <c r="DC71" s="2024"/>
      <c r="DD71" s="573"/>
      <c r="DE71" s="2018"/>
    </row>
    <row r="72" spans="1:109" s="2" customFormat="1" ht="84.75" customHeight="1" thickBot="1" x14ac:dyDescent="0.3">
      <c r="A72" s="923" t="s">
        <v>183</v>
      </c>
      <c r="B72" s="1970" t="s">
        <v>96</v>
      </c>
      <c r="C72" s="1971"/>
      <c r="D72" s="1971"/>
      <c r="E72" s="1971"/>
      <c r="F72" s="1971"/>
      <c r="G72" s="1971"/>
      <c r="H72" s="2012" t="s">
        <v>147</v>
      </c>
      <c r="I72" s="2012"/>
      <c r="J72" s="2012"/>
      <c r="K72" s="2013"/>
      <c r="L72" s="1970" t="s">
        <v>28</v>
      </c>
      <c r="M72" s="1971"/>
      <c r="N72" s="1971"/>
      <c r="O72" s="1971"/>
      <c r="P72" s="1971"/>
      <c r="Q72" s="1971"/>
      <c r="R72" s="2012" t="s">
        <v>147</v>
      </c>
      <c r="S72" s="2012"/>
      <c r="T72" s="2012"/>
      <c r="U72" s="2013"/>
      <c r="V72" s="1970" t="s">
        <v>629</v>
      </c>
      <c r="W72" s="1971"/>
      <c r="X72" s="1971"/>
      <c r="Y72" s="1971"/>
      <c r="Z72" s="1971"/>
      <c r="AA72" s="1971"/>
      <c r="AB72" s="2012" t="s">
        <v>147</v>
      </c>
      <c r="AC72" s="2012"/>
      <c r="AD72" s="2012"/>
      <c r="AE72" s="2013"/>
      <c r="AF72" s="1970" t="s">
        <v>29</v>
      </c>
      <c r="AG72" s="1971"/>
      <c r="AH72" s="1971"/>
      <c r="AI72" s="1971"/>
      <c r="AJ72" s="1971"/>
      <c r="AK72" s="1971"/>
      <c r="AL72" s="2012" t="s">
        <v>147</v>
      </c>
      <c r="AM72" s="2012"/>
      <c r="AN72" s="2012"/>
      <c r="AO72" s="2013"/>
      <c r="AP72" s="1970" t="s">
        <v>629</v>
      </c>
      <c r="AQ72" s="1971"/>
      <c r="AR72" s="1971"/>
      <c r="AS72" s="1971"/>
      <c r="AT72" s="1971"/>
      <c r="AU72" s="1971"/>
      <c r="AV72" s="2012" t="s">
        <v>147</v>
      </c>
      <c r="AW72" s="2012"/>
      <c r="AX72" s="2012"/>
      <c r="AY72" s="2013"/>
      <c r="BH72" s="622"/>
      <c r="BI72" s="1730"/>
      <c r="BJ72" s="622"/>
      <c r="BK72" s="1730"/>
      <c r="BL72" s="589"/>
      <c r="BM72" s="1740"/>
      <c r="BN72" s="921"/>
      <c r="BO72" s="2018"/>
      <c r="BP72" s="921"/>
      <c r="BQ72" s="2018"/>
      <c r="BR72" s="622"/>
      <c r="BS72" s="1730"/>
      <c r="BT72" s="622"/>
      <c r="BU72" s="1730"/>
      <c r="BV72" s="589"/>
      <c r="BW72" s="1740"/>
      <c r="BX72" s="921"/>
      <c r="BY72" s="2018"/>
      <c r="BZ72" s="921"/>
      <c r="CA72" s="2018"/>
      <c r="CB72" s="622"/>
      <c r="CC72" s="1730"/>
      <c r="CD72" s="622"/>
      <c r="CE72" s="1730"/>
      <c r="CF72" s="589"/>
      <c r="CG72" s="1740"/>
      <c r="CH72" s="921"/>
      <c r="CI72" s="2018"/>
      <c r="CJ72" s="924"/>
      <c r="CK72" s="2024"/>
      <c r="CL72" s="622"/>
      <c r="CM72" s="1730"/>
      <c r="CN72" s="622"/>
      <c r="CO72" s="1730"/>
      <c r="CP72" s="622"/>
      <c r="CQ72" s="1730"/>
      <c r="CR72" s="921"/>
      <c r="CS72" s="2018"/>
      <c r="CT72" s="921"/>
      <c r="CU72" s="2018"/>
      <c r="CV72" s="622"/>
      <c r="CW72" s="1730"/>
      <c r="CX72" s="622"/>
      <c r="CY72" s="1730"/>
      <c r="CZ72" s="589"/>
      <c r="DA72" s="1740"/>
      <c r="DB72" s="924"/>
      <c r="DC72" s="2024"/>
      <c r="DD72" s="921"/>
      <c r="DE72" s="2018"/>
    </row>
    <row r="73" spans="1:109" s="2" customFormat="1" ht="48" customHeight="1" x14ac:dyDescent="0.25">
      <c r="A73" s="1321" t="s">
        <v>182</v>
      </c>
      <c r="B73" s="223" t="s">
        <v>569</v>
      </c>
      <c r="C73" s="1904" t="s">
        <v>158</v>
      </c>
      <c r="D73" s="223" t="s">
        <v>570</v>
      </c>
      <c r="E73" s="1904" t="s">
        <v>1280</v>
      </c>
      <c r="F73" s="418" t="s">
        <v>571</v>
      </c>
      <c r="G73" s="1904" t="s">
        <v>1062</v>
      </c>
      <c r="H73" s="199"/>
      <c r="I73" s="1990"/>
      <c r="J73" s="230"/>
      <c r="K73" s="1803"/>
      <c r="L73" s="418" t="s">
        <v>569</v>
      </c>
      <c r="M73" s="1904" t="s">
        <v>1062</v>
      </c>
      <c r="N73" s="418" t="s">
        <v>570</v>
      </c>
      <c r="O73" s="1904" t="s">
        <v>158</v>
      </c>
      <c r="P73" s="418" t="s">
        <v>571</v>
      </c>
      <c r="Q73" s="1811" t="s">
        <v>567</v>
      </c>
      <c r="R73" s="230"/>
      <c r="S73" s="1990"/>
      <c r="T73" s="199"/>
      <c r="U73" s="1803"/>
      <c r="V73" s="223" t="s">
        <v>569</v>
      </c>
      <c r="W73" s="1904" t="s">
        <v>1280</v>
      </c>
      <c r="X73" s="223" t="s">
        <v>570</v>
      </c>
      <c r="Y73" s="1811" t="s">
        <v>151</v>
      </c>
      <c r="Z73" s="418" t="s">
        <v>571</v>
      </c>
      <c r="AA73" s="1811" t="s">
        <v>156</v>
      </c>
      <c r="AB73" s="230"/>
      <c r="AC73" s="1990"/>
      <c r="AD73" s="230"/>
      <c r="AE73" s="1803"/>
      <c r="AF73" s="223" t="s">
        <v>569</v>
      </c>
      <c r="AG73" s="1811" t="s">
        <v>567</v>
      </c>
      <c r="AH73" s="223" t="s">
        <v>570</v>
      </c>
      <c r="AI73" s="1904" t="s">
        <v>669</v>
      </c>
      <c r="AJ73" s="418" t="s">
        <v>571</v>
      </c>
      <c r="AK73" s="1904" t="s">
        <v>1280</v>
      </c>
      <c r="AL73" s="230"/>
      <c r="AM73" s="1990"/>
      <c r="AN73" s="230"/>
      <c r="AO73" s="1803"/>
      <c r="AP73" s="418" t="s">
        <v>569</v>
      </c>
      <c r="AQ73" s="1811" t="s">
        <v>151</v>
      </c>
      <c r="AR73" s="223" t="s">
        <v>570</v>
      </c>
      <c r="AS73" s="1811" t="s">
        <v>567</v>
      </c>
      <c r="AT73" s="199"/>
      <c r="AU73" s="1990"/>
      <c r="AV73" s="130"/>
      <c r="AW73" s="1952"/>
      <c r="AX73" s="199"/>
      <c r="AY73" s="1972"/>
      <c r="BH73" s="2014"/>
      <c r="BI73" s="2014"/>
      <c r="BJ73" s="2014"/>
      <c r="BK73" s="2014"/>
      <c r="BL73" s="2014"/>
      <c r="BM73" s="2014"/>
      <c r="BN73" s="997"/>
      <c r="BO73" s="997"/>
      <c r="BP73" s="997"/>
      <c r="BQ73" s="575"/>
      <c r="BR73" s="2014"/>
      <c r="BS73" s="2014"/>
      <c r="BT73" s="2014"/>
      <c r="BU73" s="2014"/>
      <c r="BV73" s="2014"/>
      <c r="BW73" s="2014"/>
      <c r="BX73" s="985"/>
      <c r="BY73" s="985"/>
      <c r="BZ73" s="985"/>
      <c r="CA73" s="575"/>
      <c r="CB73" s="2014"/>
      <c r="CC73" s="2014"/>
      <c r="CD73" s="2014"/>
      <c r="CE73" s="2014"/>
      <c r="CF73" s="2014"/>
      <c r="CG73" s="2014"/>
      <c r="CH73" s="997"/>
      <c r="CI73" s="997"/>
      <c r="CJ73" s="997"/>
      <c r="CK73" s="575"/>
      <c r="CL73" s="2014"/>
      <c r="CM73" s="2014"/>
      <c r="CN73" s="2014"/>
      <c r="CO73" s="2014"/>
      <c r="CP73" s="2014"/>
      <c r="CQ73" s="2014"/>
      <c r="CR73" s="997"/>
      <c r="CS73" s="997"/>
      <c r="CT73" s="997"/>
      <c r="CU73" s="575"/>
      <c r="CV73" s="2196"/>
      <c r="CW73" s="2196"/>
      <c r="CX73" s="2196"/>
      <c r="CY73" s="2196"/>
      <c r="CZ73" s="2196"/>
      <c r="DA73" s="2196"/>
      <c r="DB73" s="997"/>
      <c r="DC73" s="997"/>
      <c r="DD73" s="997"/>
      <c r="DE73" s="575"/>
    </row>
    <row r="74" spans="1:109" s="2" customFormat="1" ht="48" customHeight="1" x14ac:dyDescent="0.25">
      <c r="A74" s="1321"/>
      <c r="B74" s="1878" t="s">
        <v>1309</v>
      </c>
      <c r="C74" s="1811"/>
      <c r="D74" s="1878" t="s">
        <v>96</v>
      </c>
      <c r="E74" s="1811"/>
      <c r="F74" s="1878" t="s">
        <v>28</v>
      </c>
      <c r="G74" s="1811"/>
      <c r="H74" s="1814"/>
      <c r="I74" s="1991"/>
      <c r="J74" s="1794"/>
      <c r="K74" s="1804"/>
      <c r="L74" s="1878" t="s">
        <v>28</v>
      </c>
      <c r="M74" s="1811"/>
      <c r="N74" s="1878" t="s">
        <v>1309</v>
      </c>
      <c r="O74" s="1811"/>
      <c r="P74" s="1878" t="s">
        <v>29</v>
      </c>
      <c r="Q74" s="1811"/>
      <c r="R74" s="1794"/>
      <c r="S74" s="1991"/>
      <c r="T74" s="1713"/>
      <c r="U74" s="1804"/>
      <c r="V74" s="1878" t="s">
        <v>96</v>
      </c>
      <c r="W74" s="1811"/>
      <c r="X74" s="1878" t="s">
        <v>629</v>
      </c>
      <c r="Y74" s="1811"/>
      <c r="Z74" s="1878" t="s">
        <v>1309</v>
      </c>
      <c r="AA74" s="1811"/>
      <c r="AB74" s="1794"/>
      <c r="AC74" s="1991"/>
      <c r="AD74" s="1794"/>
      <c r="AE74" s="1804"/>
      <c r="AF74" s="1878" t="s">
        <v>29</v>
      </c>
      <c r="AG74" s="1811"/>
      <c r="AH74" s="1878" t="s">
        <v>28</v>
      </c>
      <c r="AI74" s="1811"/>
      <c r="AJ74" s="1878" t="s">
        <v>96</v>
      </c>
      <c r="AK74" s="1811"/>
      <c r="AL74" s="1713"/>
      <c r="AM74" s="1991"/>
      <c r="AN74" s="1713"/>
      <c r="AO74" s="1804"/>
      <c r="AP74" s="1878" t="s">
        <v>629</v>
      </c>
      <c r="AQ74" s="1811"/>
      <c r="AR74" s="1878" t="s">
        <v>29</v>
      </c>
      <c r="AS74" s="1811"/>
      <c r="AT74" s="1814"/>
      <c r="AU74" s="1991"/>
      <c r="AV74" s="1939"/>
      <c r="AW74" s="1953"/>
      <c r="AX74" s="1713"/>
      <c r="AY74" s="1973"/>
      <c r="BH74" s="2003"/>
      <c r="BI74" s="2003"/>
      <c r="BJ74" s="2003"/>
      <c r="BK74" s="2003"/>
      <c r="BL74" s="2003"/>
      <c r="BM74" s="2003"/>
      <c r="BN74" s="985"/>
      <c r="BO74" s="985"/>
      <c r="BP74" s="985"/>
      <c r="BQ74" s="576"/>
      <c r="BR74" s="2014"/>
      <c r="BS74" s="2014"/>
      <c r="BT74" s="2014"/>
      <c r="BU74" s="2014"/>
      <c r="BV74" s="2014"/>
      <c r="BW74" s="2014"/>
      <c r="BX74" s="985"/>
      <c r="BY74" s="985"/>
      <c r="BZ74" s="985"/>
      <c r="CA74" s="576"/>
      <c r="CB74" s="2003"/>
      <c r="CC74" s="2003"/>
      <c r="CD74" s="2003"/>
      <c r="CE74" s="2003"/>
      <c r="CF74" s="2003"/>
      <c r="CG74" s="2003"/>
      <c r="CH74" s="985"/>
      <c r="CI74" s="985"/>
      <c r="CJ74" s="985"/>
      <c r="CK74" s="576"/>
      <c r="CL74" s="2003"/>
      <c r="CM74" s="2003"/>
      <c r="CN74" s="2003"/>
      <c r="CO74" s="2003"/>
      <c r="CP74" s="2003"/>
      <c r="CQ74" s="2003"/>
      <c r="CR74" s="985"/>
      <c r="CS74" s="985"/>
      <c r="CT74" s="985"/>
      <c r="CU74" s="576"/>
      <c r="CV74" s="2196"/>
      <c r="CW74" s="2196"/>
      <c r="CX74" s="2196"/>
      <c r="CY74" s="2196"/>
      <c r="CZ74" s="2196"/>
      <c r="DA74" s="2196"/>
      <c r="DB74" s="997"/>
      <c r="DC74" s="997"/>
      <c r="DD74" s="997"/>
      <c r="DE74" s="576"/>
    </row>
    <row r="75" spans="1:109" s="2" customFormat="1" ht="48" customHeight="1" x14ac:dyDescent="0.25">
      <c r="A75" s="1105" t="s">
        <v>184</v>
      </c>
      <c r="B75" s="1878"/>
      <c r="C75" s="1811"/>
      <c r="D75" s="1878"/>
      <c r="E75" s="1811"/>
      <c r="F75" s="1878"/>
      <c r="G75" s="1811"/>
      <c r="H75" s="1814"/>
      <c r="I75" s="1991"/>
      <c r="J75" s="1794"/>
      <c r="K75" s="1804"/>
      <c r="L75" s="1878"/>
      <c r="M75" s="1811"/>
      <c r="N75" s="1878"/>
      <c r="O75" s="1811"/>
      <c r="P75" s="1878"/>
      <c r="Q75" s="1811"/>
      <c r="R75" s="1794"/>
      <c r="S75" s="1991"/>
      <c r="T75" s="1713"/>
      <c r="U75" s="1804"/>
      <c r="V75" s="1878"/>
      <c r="W75" s="1811"/>
      <c r="X75" s="1878"/>
      <c r="Y75" s="1811"/>
      <c r="Z75" s="1878"/>
      <c r="AA75" s="1811"/>
      <c r="AB75" s="1794"/>
      <c r="AC75" s="1991"/>
      <c r="AD75" s="1794"/>
      <c r="AE75" s="1804"/>
      <c r="AF75" s="1878"/>
      <c r="AG75" s="1811"/>
      <c r="AH75" s="1878"/>
      <c r="AI75" s="1811"/>
      <c r="AJ75" s="1878"/>
      <c r="AK75" s="1811"/>
      <c r="AL75" s="1713"/>
      <c r="AM75" s="1991"/>
      <c r="AN75" s="1713"/>
      <c r="AO75" s="1804"/>
      <c r="AP75" s="1878"/>
      <c r="AQ75" s="1811"/>
      <c r="AR75" s="1878"/>
      <c r="AS75" s="1811"/>
      <c r="AT75" s="1814"/>
      <c r="AU75" s="1991"/>
      <c r="AV75" s="1939"/>
      <c r="AW75" s="1953"/>
      <c r="AX75" s="1713"/>
      <c r="AY75" s="1973"/>
      <c r="BF75" s="600"/>
      <c r="BH75" s="2014"/>
      <c r="BI75" s="2014"/>
      <c r="BJ75" s="2014"/>
      <c r="BK75" s="2014"/>
      <c r="BL75" s="2014"/>
      <c r="BM75" s="2014"/>
      <c r="BN75" s="997"/>
      <c r="BO75" s="997"/>
      <c r="BP75" s="997"/>
      <c r="BQ75" s="575"/>
      <c r="BR75" s="2014"/>
      <c r="BS75" s="2014"/>
      <c r="BT75" s="2014"/>
      <c r="BU75" s="2014"/>
      <c r="BV75" s="2014"/>
      <c r="BW75" s="2014"/>
      <c r="BX75" s="997"/>
      <c r="BY75" s="997"/>
      <c r="BZ75" s="997"/>
      <c r="CA75" s="575"/>
      <c r="CB75" s="2014"/>
      <c r="CC75" s="2014"/>
      <c r="CD75" s="2014"/>
      <c r="CE75" s="2014"/>
      <c r="CF75" s="2014"/>
      <c r="CG75" s="2014"/>
      <c r="CH75" s="997"/>
      <c r="CI75" s="997"/>
      <c r="CJ75" s="997"/>
      <c r="CK75" s="575"/>
      <c r="CL75" s="2014"/>
      <c r="CM75" s="2014"/>
      <c r="CN75" s="2014"/>
      <c r="CO75" s="2014"/>
      <c r="CP75" s="2014"/>
      <c r="CQ75" s="2014"/>
      <c r="CR75" s="997"/>
      <c r="CS75" s="997"/>
      <c r="CT75" s="997"/>
      <c r="CU75" s="575"/>
      <c r="CV75" s="2196"/>
      <c r="CW75" s="2196"/>
      <c r="CX75" s="2196"/>
      <c r="CY75" s="2196"/>
      <c r="CZ75" s="2196"/>
      <c r="DA75" s="2196"/>
      <c r="DB75" s="997"/>
      <c r="DC75" s="997"/>
      <c r="DD75" s="997"/>
      <c r="DE75" s="575"/>
    </row>
    <row r="76" spans="1:109" s="2" customFormat="1" ht="48" customHeight="1" thickBot="1" x14ac:dyDescent="0.3">
      <c r="A76" s="1321"/>
      <c r="B76" s="1997"/>
      <c r="C76" s="1812"/>
      <c r="D76" s="1997"/>
      <c r="E76" s="1812"/>
      <c r="F76" s="1997"/>
      <c r="G76" s="1812"/>
      <c r="H76" s="2016"/>
      <c r="I76" s="1992"/>
      <c r="J76" s="2002"/>
      <c r="K76" s="1977"/>
      <c r="L76" s="1997"/>
      <c r="M76" s="1812"/>
      <c r="N76" s="1997"/>
      <c r="O76" s="1812"/>
      <c r="P76" s="1997"/>
      <c r="Q76" s="1812"/>
      <c r="R76" s="2002"/>
      <c r="S76" s="1992"/>
      <c r="T76" s="1723"/>
      <c r="U76" s="1804"/>
      <c r="V76" s="1997"/>
      <c r="W76" s="1812"/>
      <c r="X76" s="1997"/>
      <c r="Y76" s="1812"/>
      <c r="Z76" s="1997"/>
      <c r="AA76" s="1812"/>
      <c r="AB76" s="2002"/>
      <c r="AC76" s="1992"/>
      <c r="AD76" s="2002"/>
      <c r="AE76" s="1977"/>
      <c r="AF76" s="1997"/>
      <c r="AG76" s="1812"/>
      <c r="AH76" s="1997"/>
      <c r="AI76" s="1812"/>
      <c r="AJ76" s="1997"/>
      <c r="AK76" s="1812"/>
      <c r="AL76" s="1723"/>
      <c r="AM76" s="1992"/>
      <c r="AN76" s="1723"/>
      <c r="AO76" s="1977"/>
      <c r="AP76" s="1997"/>
      <c r="AQ76" s="1812"/>
      <c r="AR76" s="1997"/>
      <c r="AS76" s="1812"/>
      <c r="AT76" s="2016"/>
      <c r="AU76" s="1992"/>
      <c r="AV76" s="1939"/>
      <c r="AW76" s="1953"/>
      <c r="AX76" s="1723"/>
      <c r="AY76" s="1973"/>
      <c r="BH76" s="2003"/>
      <c r="BI76" s="2003"/>
      <c r="BJ76" s="2003"/>
      <c r="BK76" s="2003"/>
      <c r="BL76" s="2003"/>
      <c r="BM76" s="2003"/>
      <c r="BN76" s="985"/>
      <c r="BO76" s="985"/>
      <c r="BP76" s="985"/>
      <c r="BQ76" s="576"/>
      <c r="BR76" s="2003"/>
      <c r="BS76" s="2003"/>
      <c r="BT76" s="2003"/>
      <c r="BU76" s="2003"/>
      <c r="BV76" s="2003"/>
      <c r="BW76" s="2003"/>
      <c r="BX76" s="985"/>
      <c r="BY76" s="985"/>
      <c r="BZ76" s="985"/>
      <c r="CA76" s="576"/>
      <c r="CB76" s="2003"/>
      <c r="CC76" s="2003"/>
      <c r="CD76" s="2003"/>
      <c r="CE76" s="2003"/>
      <c r="CF76" s="2003"/>
      <c r="CG76" s="2003"/>
      <c r="CH76" s="985"/>
      <c r="CI76" s="985"/>
      <c r="CJ76" s="985"/>
      <c r="CK76" s="576"/>
      <c r="CL76" s="2003"/>
      <c r="CM76" s="2003"/>
      <c r="CN76" s="2003"/>
      <c r="CO76" s="2003"/>
      <c r="CP76" s="2003"/>
      <c r="CQ76" s="2003"/>
      <c r="CR76" s="985"/>
      <c r="CS76" s="985"/>
      <c r="CT76" s="985"/>
      <c r="CU76" s="576"/>
      <c r="CV76" s="2196"/>
      <c r="CW76" s="2196"/>
      <c r="CX76" s="2196"/>
      <c r="CY76" s="2196"/>
      <c r="CZ76" s="2196"/>
      <c r="DA76" s="2196"/>
      <c r="DB76" s="997"/>
      <c r="DC76" s="997"/>
      <c r="DD76" s="997"/>
      <c r="DE76" s="576"/>
    </row>
    <row r="77" spans="1:109" s="2" customFormat="1" ht="48" customHeight="1" x14ac:dyDescent="0.25">
      <c r="A77" s="1105" t="s">
        <v>185</v>
      </c>
      <c r="B77" s="188"/>
      <c r="C77" s="602"/>
      <c r="D77" s="651"/>
      <c r="E77" s="1988"/>
      <c r="F77" s="277"/>
      <c r="G77" s="277"/>
      <c r="H77" s="186"/>
      <c r="I77" s="1991"/>
      <c r="J77" s="171"/>
      <c r="K77" s="1804"/>
      <c r="L77" s="651"/>
      <c r="M77" s="1987"/>
      <c r="N77" s="277"/>
      <c r="O77" s="277"/>
      <c r="P77" s="186"/>
      <c r="Q77" s="1991"/>
      <c r="R77" s="186"/>
      <c r="S77" s="1991"/>
      <c r="T77" s="171"/>
      <c r="U77" s="1803"/>
      <c r="V77" s="277"/>
      <c r="W77" s="602"/>
      <c r="X77" s="418" t="s">
        <v>571</v>
      </c>
      <c r="Y77" s="1811" t="s">
        <v>151</v>
      </c>
      <c r="Z77" s="198"/>
      <c r="AA77" s="1983"/>
      <c r="AB77" s="230"/>
      <c r="AC77" s="1991"/>
      <c r="AD77" s="198"/>
      <c r="AE77" s="1972"/>
      <c r="AF77" s="651"/>
      <c r="AG77" s="1987"/>
      <c r="AH77" s="238"/>
      <c r="AI77" s="1934"/>
      <c r="AJ77" s="167"/>
      <c r="AK77" s="1934"/>
      <c r="AL77" s="167"/>
      <c r="AM77" s="1934"/>
      <c r="AN77" s="198"/>
      <c r="AO77" s="1972"/>
      <c r="AP77" s="266"/>
      <c r="AQ77" s="1983"/>
      <c r="AR77" s="238"/>
      <c r="AS77" s="1996"/>
      <c r="AT77" s="167"/>
      <c r="AU77" s="1996"/>
      <c r="AV77" s="238"/>
      <c r="AW77" s="1996"/>
      <c r="AX77" s="198"/>
      <c r="AY77" s="1972"/>
      <c r="BH77" s="2017"/>
      <c r="BI77" s="2017"/>
      <c r="BJ77" s="2017"/>
      <c r="BK77" s="2017"/>
      <c r="BL77" s="2017"/>
      <c r="BM77" s="2017"/>
      <c r="BN77" s="2017"/>
      <c r="BO77" s="2017"/>
      <c r="BP77" s="2017"/>
      <c r="BQ77" s="2017"/>
      <c r="BR77" s="2017"/>
      <c r="BS77" s="2017"/>
      <c r="BT77" s="2017"/>
      <c r="BU77" s="2017"/>
      <c r="BV77" s="2017"/>
      <c r="BW77" s="2017"/>
      <c r="BX77" s="2017"/>
      <c r="BY77" s="2017"/>
      <c r="BZ77" s="2017"/>
      <c r="CA77" s="2017"/>
      <c r="CB77" s="2017"/>
      <c r="CC77" s="2017"/>
      <c r="CD77" s="2017"/>
      <c r="CE77" s="2017"/>
      <c r="CF77" s="2017"/>
      <c r="CG77" s="2017"/>
      <c r="CH77" s="2017"/>
      <c r="CI77" s="2017"/>
      <c r="CJ77" s="2017"/>
      <c r="CK77" s="2017"/>
      <c r="CL77" s="2017"/>
      <c r="CM77" s="2017"/>
      <c r="CN77" s="2017"/>
      <c r="CO77" s="2017"/>
      <c r="CP77" s="2017"/>
      <c r="CQ77" s="2017"/>
      <c r="CR77" s="2017"/>
      <c r="CS77" s="2017"/>
      <c r="CT77" s="2017"/>
      <c r="CU77" s="2017"/>
      <c r="CV77" s="2196"/>
      <c r="CW77" s="2196"/>
      <c r="CX77" s="2196"/>
      <c r="CY77" s="2196"/>
      <c r="CZ77" s="2196"/>
      <c r="DA77" s="2196"/>
      <c r="DB77" s="997"/>
      <c r="DC77" s="997"/>
      <c r="DD77" s="997"/>
      <c r="DE77" s="575"/>
    </row>
    <row r="78" spans="1:109" s="2" customFormat="1" ht="48" customHeight="1" x14ac:dyDescent="0.25">
      <c r="A78" s="1321"/>
      <c r="C78" s="277"/>
      <c r="D78" s="1966"/>
      <c r="E78" s="1988"/>
      <c r="F78" s="277"/>
      <c r="G78" s="277"/>
      <c r="H78" s="1713"/>
      <c r="I78" s="1991"/>
      <c r="J78" s="1166"/>
      <c r="K78" s="1804"/>
      <c r="L78" s="1993"/>
      <c r="M78" s="1988"/>
      <c r="N78" s="277"/>
      <c r="O78" s="277"/>
      <c r="P78" s="1713"/>
      <c r="Q78" s="1991"/>
      <c r="R78" s="1713"/>
      <c r="S78" s="1991"/>
      <c r="T78" s="1166"/>
      <c r="U78" s="1804"/>
      <c r="V78" s="277"/>
      <c r="W78" s="277"/>
      <c r="X78" s="1797" t="s">
        <v>629</v>
      </c>
      <c r="Y78" s="1811"/>
      <c r="Z78" s="1410"/>
      <c r="AA78" s="1984"/>
      <c r="AB78" s="1713"/>
      <c r="AC78" s="1991"/>
      <c r="AD78" s="1410"/>
      <c r="AE78" s="1973"/>
      <c r="AF78" s="1966"/>
      <c r="AG78" s="1988"/>
      <c r="AH78" s="2004"/>
      <c r="AI78" s="1934"/>
      <c r="AJ78" s="2004"/>
      <c r="AK78" s="1934"/>
      <c r="AL78" s="2004"/>
      <c r="AM78" s="1934"/>
      <c r="AN78" s="1410"/>
      <c r="AO78" s="1973"/>
      <c r="AP78" s="1676"/>
      <c r="AQ78" s="1984"/>
      <c r="AR78" s="2004"/>
      <c r="AS78" s="1934"/>
      <c r="AT78" s="2004"/>
      <c r="AU78" s="1934"/>
      <c r="AV78" s="2004"/>
      <c r="AW78" s="1934"/>
      <c r="AX78" s="1410"/>
      <c r="AY78" s="1973"/>
      <c r="AZ78" s="184"/>
      <c r="BH78" s="2015"/>
      <c r="BI78" s="2015"/>
      <c r="BJ78" s="2015"/>
      <c r="BK78" s="2015"/>
      <c r="BL78" s="2015"/>
      <c r="BM78" s="2015"/>
      <c r="BN78" s="2015"/>
      <c r="BO78" s="2015"/>
      <c r="BP78" s="2015"/>
      <c r="BQ78" s="2015"/>
      <c r="BR78" s="2015"/>
      <c r="BS78" s="2015"/>
      <c r="BT78" s="2015"/>
      <c r="BU78" s="2015"/>
      <c r="BV78" s="2015"/>
      <c r="BW78" s="2015"/>
      <c r="BX78" s="2015"/>
      <c r="BY78" s="2015"/>
      <c r="BZ78" s="2015"/>
      <c r="CA78" s="2015"/>
      <c r="CB78" s="2015"/>
      <c r="CC78" s="2015"/>
      <c r="CD78" s="2015"/>
      <c r="CE78" s="2015"/>
      <c r="CF78" s="2015"/>
      <c r="CG78" s="2015"/>
      <c r="CH78" s="2015"/>
      <c r="CI78" s="2015"/>
      <c r="CJ78" s="2015"/>
      <c r="CK78" s="2015"/>
      <c r="CL78" s="2015"/>
      <c r="CM78" s="2015"/>
      <c r="CN78" s="2015"/>
      <c r="CO78" s="2015"/>
      <c r="CP78" s="2015"/>
      <c r="CQ78" s="2015"/>
      <c r="CR78" s="2015"/>
      <c r="CS78" s="2015"/>
      <c r="CT78" s="2015"/>
      <c r="CU78" s="2015"/>
      <c r="CV78" s="2196"/>
      <c r="CW78" s="2196"/>
      <c r="CX78" s="2196"/>
      <c r="CY78" s="2196"/>
      <c r="CZ78" s="2196"/>
      <c r="DA78" s="2196"/>
      <c r="DB78" s="997"/>
      <c r="DC78" s="997"/>
      <c r="DD78" s="997"/>
      <c r="DE78" s="576"/>
    </row>
    <row r="79" spans="1:109" s="2" customFormat="1" ht="48" customHeight="1" x14ac:dyDescent="0.25">
      <c r="A79" s="1321" t="s">
        <v>186</v>
      </c>
      <c r="C79" s="277"/>
      <c r="D79" s="1966"/>
      <c r="E79" s="1988"/>
      <c r="F79" s="277"/>
      <c r="G79" s="277"/>
      <c r="H79" s="1713"/>
      <c r="I79" s="1991"/>
      <c r="J79" s="1166"/>
      <c r="K79" s="1804"/>
      <c r="L79" s="1993"/>
      <c r="M79" s="1988"/>
      <c r="N79" s="277"/>
      <c r="O79" s="277"/>
      <c r="P79" s="1713"/>
      <c r="Q79" s="1991"/>
      <c r="R79" s="1713"/>
      <c r="S79" s="1991"/>
      <c r="T79" s="1166"/>
      <c r="U79" s="1804"/>
      <c r="V79" s="277"/>
      <c r="W79" s="277"/>
      <c r="X79" s="1797"/>
      <c r="Y79" s="1811"/>
      <c r="Z79" s="1410"/>
      <c r="AA79" s="1984"/>
      <c r="AB79" s="1713"/>
      <c r="AC79" s="1991"/>
      <c r="AD79" s="1410"/>
      <c r="AE79" s="1973"/>
      <c r="AF79" s="1966"/>
      <c r="AG79" s="1988"/>
      <c r="AH79" s="2004"/>
      <c r="AI79" s="1934"/>
      <c r="AJ79" s="2004"/>
      <c r="AK79" s="1934"/>
      <c r="AL79" s="2004"/>
      <c r="AM79" s="1934"/>
      <c r="AN79" s="1410"/>
      <c r="AO79" s="1973"/>
      <c r="AP79" s="1676"/>
      <c r="AQ79" s="1984"/>
      <c r="AR79" s="2004"/>
      <c r="AS79" s="1934"/>
      <c r="AT79" s="2004"/>
      <c r="AU79" s="1934"/>
      <c r="AV79" s="2004"/>
      <c r="AW79" s="1934"/>
      <c r="AX79" s="1410"/>
      <c r="AY79" s="1973"/>
    </row>
    <row r="80" spans="1:109" s="2" customFormat="1" ht="48" customHeight="1" thickBot="1" x14ac:dyDescent="0.3">
      <c r="A80" s="1338"/>
      <c r="B80" s="126"/>
      <c r="C80" s="277"/>
      <c r="D80" s="1967"/>
      <c r="E80" s="1989"/>
      <c r="F80" s="277"/>
      <c r="G80" s="277"/>
      <c r="H80" s="1723"/>
      <c r="I80" s="1992"/>
      <c r="J80" s="1167"/>
      <c r="K80" s="1977"/>
      <c r="L80" s="1994"/>
      <c r="M80" s="1989"/>
      <c r="N80" s="277"/>
      <c r="O80" s="603"/>
      <c r="P80" s="1723"/>
      <c r="Q80" s="1992"/>
      <c r="R80" s="1723"/>
      <c r="S80" s="1992"/>
      <c r="T80" s="1167"/>
      <c r="U80" s="1977"/>
      <c r="V80" s="604"/>
      <c r="W80" s="605"/>
      <c r="X80" s="2001"/>
      <c r="Y80" s="1812"/>
      <c r="Z80" s="2000"/>
      <c r="AA80" s="1985"/>
      <c r="AB80" s="1723"/>
      <c r="AC80" s="1992"/>
      <c r="AD80" s="2000"/>
      <c r="AE80" s="1974"/>
      <c r="AF80" s="1967"/>
      <c r="AG80" s="1989"/>
      <c r="AH80" s="2005"/>
      <c r="AI80" s="1986"/>
      <c r="AJ80" s="2005"/>
      <c r="AK80" s="1986"/>
      <c r="AL80" s="2005"/>
      <c r="AM80" s="1986"/>
      <c r="AN80" s="2000"/>
      <c r="AO80" s="1974"/>
      <c r="AP80" s="2007"/>
      <c r="AQ80" s="1985"/>
      <c r="AR80" s="2005"/>
      <c r="AS80" s="1986"/>
      <c r="AT80" s="2005"/>
      <c r="AU80" s="1986"/>
      <c r="AV80" s="2005"/>
      <c r="AW80" s="1986"/>
      <c r="AX80" s="2000"/>
      <c r="AY80" s="1974"/>
    </row>
    <row r="81" spans="1:51" ht="18" customHeight="1" thickBot="1" x14ac:dyDescent="0.3">
      <c r="A81" s="226"/>
      <c r="C81" s="226"/>
      <c r="F81" s="226"/>
      <c r="G81" s="226"/>
      <c r="N81" s="226"/>
      <c r="V81" s="226"/>
      <c r="W81" s="226"/>
      <c r="AG81" s="226"/>
    </row>
    <row r="82" spans="1:51" ht="18.75" customHeight="1" thickBot="1" x14ac:dyDescent="0.3">
      <c r="A82" s="1033" t="s">
        <v>214</v>
      </c>
      <c r="B82" s="935"/>
      <c r="C82" s="1033" t="s">
        <v>215</v>
      </c>
      <c r="D82" s="934"/>
      <c r="E82" s="934"/>
      <c r="F82" s="934"/>
      <c r="G82" s="934"/>
      <c r="H82" s="934"/>
      <c r="I82" s="934"/>
      <c r="J82" s="934"/>
      <c r="K82" s="934"/>
      <c r="L82" s="934"/>
      <c r="M82" s="934"/>
      <c r="N82" s="934"/>
      <c r="O82" s="1033" t="s">
        <v>294</v>
      </c>
      <c r="P82" s="934"/>
      <c r="Q82" s="934"/>
      <c r="R82" s="935"/>
      <c r="S82" s="1033" t="s">
        <v>139</v>
      </c>
      <c r="T82" s="935"/>
      <c r="U82" s="1787" t="s">
        <v>163</v>
      </c>
      <c r="V82" s="1788"/>
      <c r="W82" s="1788"/>
      <c r="X82" s="1788"/>
      <c r="Y82" s="1788"/>
      <c r="Z82" s="1788"/>
      <c r="AA82" s="1788"/>
      <c r="AB82" s="1788"/>
      <c r="AC82" s="1788"/>
      <c r="AD82" s="1788"/>
      <c r="AE82" s="1788"/>
      <c r="AF82" s="1788"/>
      <c r="AG82" s="1788"/>
      <c r="AH82" s="1788"/>
      <c r="AI82" s="1788"/>
      <c r="AJ82" s="1788"/>
      <c r="AK82" s="1788"/>
      <c r="AL82" s="1788"/>
      <c r="AM82" s="1788"/>
      <c r="AN82" s="1788"/>
      <c r="AO82" s="1789"/>
      <c r="AQ82" s="1866" t="s">
        <v>1012</v>
      </c>
      <c r="AR82" s="1867"/>
      <c r="AS82" s="1867"/>
      <c r="AT82" s="1868"/>
      <c r="AV82" s="1873"/>
      <c r="AW82" s="1873"/>
      <c r="AX82" s="1873"/>
      <c r="AY82" s="1873"/>
    </row>
    <row r="83" spans="1:51" ht="15" x14ac:dyDescent="0.25">
      <c r="A83" s="1848" t="str">
        <f>VLOOKUP(O83,ASIGNATURAS!$F$1:$L$1022, 3, FALSE)</f>
        <v>TERMICA I</v>
      </c>
      <c r="B83" s="1849"/>
      <c r="C83" s="1818" t="str">
        <f>VLOOKUP(O83,ASIGNATURAS!$F$1:$L$1022, 4, FALSE)</f>
        <v>Ingeniería Térmica I</v>
      </c>
      <c r="D83" s="1818"/>
      <c r="E83" s="1818"/>
      <c r="F83" s="1818"/>
      <c r="G83" s="1818"/>
      <c r="H83" s="1818"/>
      <c r="I83" s="1818"/>
      <c r="J83" s="1818"/>
      <c r="K83" s="1818"/>
      <c r="L83" s="1818"/>
      <c r="M83" s="1818"/>
      <c r="N83" s="1818"/>
      <c r="O83" s="1819">
        <v>6312</v>
      </c>
      <c r="P83" s="1819"/>
      <c r="Q83" s="1819"/>
      <c r="R83" s="1819"/>
      <c r="S83" s="1819">
        <f>VLOOKUP(O83,ASIGNATURAS!$F$1:$L$1022, 5, FALSE)</f>
        <v>6</v>
      </c>
      <c r="T83" s="1819"/>
      <c r="U83" s="1857" t="str">
        <f>VLOOKUP(O83,ASIGNATURAS!$F$1:$L$1022, 6, FALSE)</f>
        <v>David González</v>
      </c>
      <c r="V83" s="1858"/>
      <c r="W83" s="1858"/>
      <c r="X83" s="1858"/>
      <c r="Y83" s="1858"/>
      <c r="Z83" s="1858"/>
      <c r="AA83" s="1858"/>
      <c r="AB83" s="1858"/>
      <c r="AC83" s="1858"/>
      <c r="AD83" s="1858"/>
      <c r="AE83" s="1858"/>
      <c r="AF83" s="1858"/>
      <c r="AG83" s="1858"/>
      <c r="AH83" s="1858"/>
      <c r="AI83" s="1858"/>
      <c r="AJ83" s="1858"/>
      <c r="AK83" s="1858"/>
      <c r="AL83" s="1858"/>
      <c r="AM83" s="1858"/>
      <c r="AN83" s="1858"/>
      <c r="AO83" s="1859"/>
      <c r="AQ83" s="1869"/>
      <c r="AR83" s="1870"/>
      <c r="AS83" s="1870"/>
      <c r="AT83" s="1871"/>
      <c r="AV83" s="1873"/>
      <c r="AW83" s="1873"/>
      <c r="AX83" s="1873"/>
      <c r="AY83" s="1873"/>
    </row>
    <row r="84" spans="1:51" ht="15" x14ac:dyDescent="0.25">
      <c r="A84" s="1848" t="str">
        <f>VLOOKUP(O84,ASIGNATURAS!$F$1:$L$1022, 3, FALSE)</f>
        <v>ING. ELECTRICA</v>
      </c>
      <c r="B84" s="1849"/>
      <c r="C84" s="1795" t="str">
        <f>VLOOKUP(O84,ASIGNATURAS!$F$1:$L$1022, 4, FALSE)</f>
        <v>Fundamentos de Ingeniería Eléctrica</v>
      </c>
      <c r="D84" s="1795"/>
      <c r="E84" s="1795"/>
      <c r="F84" s="1795"/>
      <c r="G84" s="1795"/>
      <c r="H84" s="1795"/>
      <c r="I84" s="1795"/>
      <c r="J84" s="1795"/>
      <c r="K84" s="1795"/>
      <c r="L84" s="1795"/>
      <c r="M84" s="1795"/>
      <c r="N84" s="1795"/>
      <c r="O84" s="1765">
        <v>6313</v>
      </c>
      <c r="P84" s="1765"/>
      <c r="Q84" s="1765"/>
      <c r="R84" s="1765"/>
      <c r="S84" s="1765">
        <f>VLOOKUP(O84,ASIGNATURAS!$F$1:$L$1022, 5, FALSE)</f>
        <v>6</v>
      </c>
      <c r="T84" s="1765"/>
      <c r="U84" s="1770" t="str">
        <f>VLOOKUP(O84,ASIGNATURAS!$F$1:$L$1022, 6, FALSE)</f>
        <v>Victoria Abad San Martín</v>
      </c>
      <c r="V84" s="1771"/>
      <c r="W84" s="1771"/>
      <c r="X84" s="1771"/>
      <c r="Y84" s="1771"/>
      <c r="Z84" s="1771"/>
      <c r="AA84" s="1771"/>
      <c r="AB84" s="1771"/>
      <c r="AC84" s="1771"/>
      <c r="AD84" s="1771"/>
      <c r="AE84" s="1771"/>
      <c r="AF84" s="1771"/>
      <c r="AG84" s="1771"/>
      <c r="AH84" s="1771"/>
      <c r="AI84" s="1771"/>
      <c r="AJ84" s="1771"/>
      <c r="AK84" s="1771"/>
      <c r="AL84" s="1771"/>
      <c r="AM84" s="1771"/>
      <c r="AN84" s="1771"/>
      <c r="AO84" s="1772"/>
      <c r="AQ84" s="1784" t="s">
        <v>1008</v>
      </c>
      <c r="AR84" s="1785"/>
      <c r="AS84" s="1785"/>
      <c r="AT84" s="1786"/>
      <c r="AV84" s="2070"/>
      <c r="AW84" s="2070"/>
      <c r="AX84" s="2070"/>
      <c r="AY84" s="2070"/>
    </row>
    <row r="85" spans="1:51" ht="15" x14ac:dyDescent="0.25">
      <c r="A85" s="1848" t="str">
        <f>VLOOKUP(O85,ASIGNATURAS!$F$1:$L$1022, 3, FALSE)</f>
        <v>ERMAT I</v>
      </c>
      <c r="B85" s="1849"/>
      <c r="C85" s="1795" t="str">
        <f>VLOOKUP(O85,ASIGNATURAS!$F$1:$L$1022, 4, FALSE)</f>
        <v>Elasticidad y Resistencia de Materiales</v>
      </c>
      <c r="D85" s="1795"/>
      <c r="E85" s="1795"/>
      <c r="F85" s="1795"/>
      <c r="G85" s="1795"/>
      <c r="H85" s="1795"/>
      <c r="I85" s="1795"/>
      <c r="J85" s="1795"/>
      <c r="K85" s="1795"/>
      <c r="L85" s="1795"/>
      <c r="M85" s="1795"/>
      <c r="N85" s="1795"/>
      <c r="O85" s="1765">
        <v>6314</v>
      </c>
      <c r="P85" s="1765"/>
      <c r="Q85" s="1765"/>
      <c r="R85" s="1765"/>
      <c r="S85" s="1765">
        <f>VLOOKUP(O85,ASIGNATURAS!$F$1:$L$1022, 5, FALSE)</f>
        <v>6</v>
      </c>
      <c r="T85" s="1765"/>
      <c r="U85" s="1770" t="str">
        <f>VLOOKUP(O85,ASIGNATURAS!$F$1:$L$1022, 6, FALSE)</f>
        <v>Isidoro Iván Cuesta</v>
      </c>
      <c r="V85" s="1771"/>
      <c r="W85" s="1771"/>
      <c r="X85" s="1771"/>
      <c r="Y85" s="1771"/>
      <c r="Z85" s="1771"/>
      <c r="AA85" s="1771"/>
      <c r="AB85" s="1771"/>
      <c r="AC85" s="1771"/>
      <c r="AD85" s="1771"/>
      <c r="AE85" s="1771"/>
      <c r="AF85" s="1771"/>
      <c r="AG85" s="1771"/>
      <c r="AH85" s="1771"/>
      <c r="AI85" s="1771"/>
      <c r="AJ85" s="1771"/>
      <c r="AK85" s="1771"/>
      <c r="AL85" s="1771"/>
      <c r="AM85" s="1771"/>
      <c r="AN85" s="1771"/>
      <c r="AO85" s="1772"/>
      <c r="AQ85" s="1779" t="s">
        <v>569</v>
      </c>
      <c r="AR85" s="1780"/>
      <c r="AS85" s="1780"/>
      <c r="AT85" s="1781"/>
      <c r="AV85" s="1874"/>
      <c r="AW85" s="1874"/>
      <c r="AX85" s="1874"/>
      <c r="AY85" s="1874"/>
    </row>
    <row r="86" spans="1:51" ht="13.5" customHeight="1" x14ac:dyDescent="0.25">
      <c r="A86" s="1848" t="str">
        <f>VLOOKUP(O86,ASIGNATURAS!$F$1:$L$1022, 3, FALSE)</f>
        <v>FLUIDOMECANICA</v>
      </c>
      <c r="B86" s="1849"/>
      <c r="C86" s="1795" t="str">
        <f>VLOOKUP(O86,ASIGNATURAS!$F$1:$L$1022, 4, FALSE)</f>
        <v>Ingeniería Fluidomecánica</v>
      </c>
      <c r="D86" s="1795"/>
      <c r="E86" s="1795"/>
      <c r="F86" s="1795"/>
      <c r="G86" s="1795"/>
      <c r="H86" s="1795"/>
      <c r="I86" s="1795"/>
      <c r="J86" s="1795"/>
      <c r="K86" s="1795"/>
      <c r="L86" s="1795"/>
      <c r="M86" s="1795"/>
      <c r="N86" s="1795"/>
      <c r="O86" s="1765">
        <v>6315</v>
      </c>
      <c r="P86" s="1765"/>
      <c r="Q86" s="1765"/>
      <c r="R86" s="1765"/>
      <c r="S86" s="1765">
        <f>VLOOKUP(O86,ASIGNATURAS!$F$1:$L$1022, 5, FALSE)</f>
        <v>6</v>
      </c>
      <c r="T86" s="1765"/>
      <c r="U86" s="1770" t="str">
        <f>VLOOKUP(O86,ASIGNATURAS!$F$1:$L$1022, 6, FALSE)</f>
        <v>Jose Antonio Barón Aguado</v>
      </c>
      <c r="V86" s="1771"/>
      <c r="W86" s="1771"/>
      <c r="X86" s="1771"/>
      <c r="Y86" s="1771"/>
      <c r="Z86" s="1771"/>
      <c r="AA86" s="1771"/>
      <c r="AB86" s="1771"/>
      <c r="AC86" s="1771"/>
      <c r="AD86" s="1771"/>
      <c r="AE86" s="1771"/>
      <c r="AF86" s="1771"/>
      <c r="AG86" s="1771"/>
      <c r="AH86" s="1771"/>
      <c r="AI86" s="1771"/>
      <c r="AJ86" s="1771"/>
      <c r="AK86" s="1771"/>
      <c r="AL86" s="1771"/>
      <c r="AM86" s="1771"/>
      <c r="AN86" s="1771"/>
      <c r="AO86" s="1772"/>
      <c r="AQ86" s="1779" t="s">
        <v>570</v>
      </c>
      <c r="AR86" s="1780"/>
      <c r="AS86" s="1780"/>
      <c r="AT86" s="1781"/>
      <c r="AV86" s="1874"/>
      <c r="AW86" s="1874"/>
      <c r="AX86" s="1874"/>
      <c r="AY86" s="1874"/>
    </row>
    <row r="87" spans="1:51" ht="15.6" thickBot="1" x14ac:dyDescent="0.3">
      <c r="A87" s="1782" t="str">
        <f>VLOOKUP(O87,ASIGNATURAS!$F$1:$L$1022, 3, FALSE)</f>
        <v>AUTOMATISMOS</v>
      </c>
      <c r="B87" s="1783"/>
      <c r="C87" s="1831" t="str">
        <f>VLOOKUP(O87,ASIGNATURAS!$F$1:$L$1022, 4, FALSE)</f>
        <v>Automatismos y Control Industrial</v>
      </c>
      <c r="D87" s="1831"/>
      <c r="E87" s="1831"/>
      <c r="F87" s="1831"/>
      <c r="G87" s="1831"/>
      <c r="H87" s="1831"/>
      <c r="I87" s="1831"/>
      <c r="J87" s="1831"/>
      <c r="K87" s="1831"/>
      <c r="L87" s="1831"/>
      <c r="M87" s="1831"/>
      <c r="N87" s="1831"/>
      <c r="O87" s="1766">
        <v>6316</v>
      </c>
      <c r="P87" s="1766"/>
      <c r="Q87" s="1766"/>
      <c r="R87" s="1766"/>
      <c r="S87" s="1766">
        <f>VLOOKUP(O87,ASIGNATURAS!$F$1:$L$1022, 5, FALSE)</f>
        <v>6</v>
      </c>
      <c r="T87" s="1766"/>
      <c r="U87" s="1833" t="str">
        <f>VLOOKUP(O87,ASIGNATURAS!$F$1:$L$1022, 6, FALSE)</f>
        <v>Juan Vicente Martín Fraile</v>
      </c>
      <c r="V87" s="1834"/>
      <c r="W87" s="1834"/>
      <c r="X87" s="1834"/>
      <c r="Y87" s="1834"/>
      <c r="Z87" s="1834"/>
      <c r="AA87" s="1834"/>
      <c r="AB87" s="1834"/>
      <c r="AC87" s="1834"/>
      <c r="AD87" s="1834"/>
      <c r="AE87" s="1834"/>
      <c r="AF87" s="1834"/>
      <c r="AG87" s="1834"/>
      <c r="AH87" s="1834"/>
      <c r="AI87" s="1834"/>
      <c r="AJ87" s="1834"/>
      <c r="AK87" s="1834"/>
      <c r="AL87" s="1834"/>
      <c r="AM87" s="1834"/>
      <c r="AN87" s="1834"/>
      <c r="AO87" s="1835"/>
      <c r="AQ87" s="1779" t="s">
        <v>571</v>
      </c>
      <c r="AR87" s="1780"/>
      <c r="AS87" s="1780"/>
      <c r="AT87" s="1781"/>
      <c r="AV87" s="1170"/>
      <c r="AW87" s="1170"/>
      <c r="AX87" s="1170"/>
      <c r="AY87" s="1170"/>
    </row>
    <row r="88" spans="1:51" ht="13.8" thickBot="1" x14ac:dyDescent="0.3">
      <c r="AQ88" s="1906" t="s">
        <v>572</v>
      </c>
      <c r="AR88" s="1907"/>
      <c r="AS88" s="1907"/>
      <c r="AT88" s="1908"/>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1135" t="str">
        <f>VLOOKUP(A96,ASIGNATURAS!$A$2:$D$151, 3, FALSE)</f>
        <v>2º Grado en Ingeniería Mecánica</v>
      </c>
      <c r="B93" s="1136"/>
      <c r="C93" s="1136"/>
      <c r="D93" s="1136"/>
      <c r="E93" s="1136"/>
      <c r="F93" s="1136"/>
      <c r="G93" s="1136"/>
      <c r="H93" s="1136"/>
      <c r="I93" s="1136"/>
      <c r="J93" s="1136"/>
      <c r="K93" s="1136"/>
      <c r="L93" s="1136"/>
      <c r="M93" s="1136"/>
      <c r="N93" s="1136"/>
      <c r="O93" s="1136"/>
      <c r="P93" s="1136"/>
      <c r="Q93" s="1136"/>
      <c r="R93" s="1136"/>
      <c r="S93" s="1136"/>
      <c r="T93" s="1136"/>
      <c r="U93" s="1136"/>
      <c r="V93" s="1136"/>
      <c r="W93" s="1136"/>
      <c r="X93" s="1136"/>
      <c r="Y93" s="1136"/>
      <c r="Z93" s="1136"/>
      <c r="AA93" s="1136"/>
      <c r="AB93" s="1136"/>
      <c r="AC93" s="1136"/>
      <c r="AD93" s="1136"/>
      <c r="AE93" s="1136"/>
      <c r="AF93" s="1136"/>
      <c r="AG93" s="1136"/>
      <c r="AH93" s="1136"/>
      <c r="AI93" s="1136"/>
      <c r="AJ93" s="1136"/>
      <c r="AK93" s="1136"/>
      <c r="AL93" s="1136"/>
      <c r="AM93" s="1136"/>
      <c r="AN93" s="1136"/>
      <c r="AO93" s="1137"/>
      <c r="AP93" s="975" t="str">
        <f>Aulas!G5</f>
        <v>Curso 2024-2025</v>
      </c>
      <c r="AQ93" s="976"/>
      <c r="AR93" s="976"/>
      <c r="AS93" s="976"/>
      <c r="AT93" s="976"/>
      <c r="AU93" s="976"/>
      <c r="AV93" s="976"/>
      <c r="AW93" s="976"/>
      <c r="AX93" s="976"/>
      <c r="AY93" s="977"/>
    </row>
    <row r="94" spans="1:51" s="8" customFormat="1" ht="23.25" customHeight="1" thickBot="1" x14ac:dyDescent="0.45">
      <c r="A94" s="1132" t="str">
        <f>VLOOKUP(A96,ASIGNATURAS!$A$2:$D$151, 2, FALSE)</f>
        <v>Semestre temporal: 2º        (4º Semestre Académico)</v>
      </c>
      <c r="B94" s="1133"/>
      <c r="C94" s="1133"/>
      <c r="D94" s="1133"/>
      <c r="E94" s="1133"/>
      <c r="F94" s="1133"/>
      <c r="G94" s="1133"/>
      <c r="H94" s="1133"/>
      <c r="I94" s="1133"/>
      <c r="J94" s="1133"/>
      <c r="K94" s="1133"/>
      <c r="L94" s="1133"/>
      <c r="M94" s="1133"/>
      <c r="N94" s="1133"/>
      <c r="O94" s="1133"/>
      <c r="P94" s="1133"/>
      <c r="Q94" s="1133"/>
      <c r="R94" s="1133"/>
      <c r="S94" s="1133"/>
      <c r="T94" s="1133"/>
      <c r="U94" s="1133"/>
      <c r="V94" s="1133"/>
      <c r="W94" s="1133"/>
      <c r="X94" s="1133"/>
      <c r="Y94" s="1133"/>
      <c r="Z94" s="1133"/>
      <c r="AA94" s="1133"/>
      <c r="AB94" s="1133"/>
      <c r="AC94" s="1133"/>
      <c r="AD94" s="1133"/>
      <c r="AE94" s="1133"/>
      <c r="AF94" s="1133"/>
      <c r="AG94" s="1133"/>
      <c r="AH94" s="1133"/>
      <c r="AI94" s="1133"/>
      <c r="AJ94" s="1133"/>
      <c r="AK94" s="1133"/>
      <c r="AL94" s="1133"/>
      <c r="AM94" s="1133"/>
      <c r="AN94" s="1133"/>
      <c r="AO94" s="1134"/>
      <c r="AP94" s="1798" t="s">
        <v>148</v>
      </c>
      <c r="AQ94" s="1013"/>
      <c r="AR94" s="1013"/>
      <c r="AS94" s="1013"/>
      <c r="AT94" s="1013"/>
      <c r="AU94" s="1013"/>
      <c r="AV94" s="1013"/>
      <c r="AW94" s="1013"/>
      <c r="AX94" s="1013"/>
      <c r="AY94" s="1014"/>
    </row>
    <row r="95" spans="1:51" s="8" customFormat="1" ht="23.25" customHeight="1" thickBot="1" x14ac:dyDescent="0.45">
      <c r="A95" s="1132" t="s">
        <v>177</v>
      </c>
      <c r="B95" s="1133"/>
      <c r="C95" s="1133"/>
      <c r="D95" s="1133"/>
      <c r="E95" s="1133"/>
      <c r="F95" s="1133"/>
      <c r="G95" s="1133"/>
      <c r="H95" s="1133"/>
      <c r="I95" s="1133"/>
      <c r="J95" s="1133"/>
      <c r="K95" s="1133"/>
      <c r="L95" s="1133"/>
      <c r="M95" s="1133"/>
      <c r="N95" s="1133"/>
      <c r="O95" s="1133"/>
      <c r="P95" s="1133"/>
      <c r="Q95" s="1133"/>
      <c r="R95" s="1133"/>
      <c r="S95" s="1133"/>
      <c r="T95" s="1133"/>
      <c r="U95" s="1133"/>
      <c r="V95" s="1133"/>
      <c r="W95" s="1133"/>
      <c r="X95" s="1133"/>
      <c r="Y95" s="1133"/>
      <c r="Z95" s="1133"/>
      <c r="AA95" s="1133"/>
      <c r="AB95" s="1133"/>
      <c r="AC95" s="1133"/>
      <c r="AD95" s="1133"/>
      <c r="AE95" s="1133"/>
      <c r="AF95" s="1133"/>
      <c r="AG95" s="1133"/>
      <c r="AH95" s="1133"/>
      <c r="AI95" s="1133"/>
      <c r="AJ95" s="1133"/>
      <c r="AK95" s="1133"/>
      <c r="AL95" s="1133"/>
      <c r="AM95" s="1133"/>
      <c r="AN95" s="1133"/>
      <c r="AO95" s="1134"/>
      <c r="AP95" s="1799"/>
      <c r="AQ95" s="1015"/>
      <c r="AR95" s="1015"/>
      <c r="AS95" s="1015"/>
      <c r="AT95" s="1015"/>
      <c r="AU95" s="1015"/>
      <c r="AV95" s="1015"/>
      <c r="AW95" s="1015"/>
      <c r="AX95" s="1015"/>
      <c r="AY95" s="1016"/>
    </row>
    <row r="96" spans="1:51" ht="38.25" customHeight="1" thickBot="1" x14ac:dyDescent="0.3">
      <c r="A96" s="9" t="s">
        <v>17</v>
      </c>
      <c r="G96" s="226"/>
    </row>
    <row r="97" spans="1:51" s="2" customFormat="1" ht="24" hidden="1" customHeight="1" thickBot="1" x14ac:dyDescent="0.3">
      <c r="A97" s="19" t="s">
        <v>1</v>
      </c>
      <c r="B97" s="975" t="s">
        <v>2</v>
      </c>
      <c r="C97" s="976"/>
      <c r="D97" s="976"/>
      <c r="E97" s="976"/>
      <c r="F97" s="976"/>
      <c r="G97" s="976"/>
      <c r="H97" s="976"/>
      <c r="I97" s="976"/>
      <c r="J97" s="976"/>
      <c r="K97" s="977"/>
      <c r="L97" s="975" t="s">
        <v>3</v>
      </c>
      <c r="M97" s="976"/>
      <c r="N97" s="976"/>
      <c r="O97" s="976"/>
      <c r="P97" s="976"/>
      <c r="Q97" s="976"/>
      <c r="R97" s="976"/>
      <c r="S97" s="976"/>
      <c r="T97" s="976"/>
      <c r="U97" s="977"/>
      <c r="V97" s="975" t="s">
        <v>135</v>
      </c>
      <c r="W97" s="976"/>
      <c r="X97" s="976"/>
      <c r="Y97" s="976"/>
      <c r="Z97" s="976"/>
      <c r="AA97" s="976"/>
      <c r="AB97" s="976"/>
      <c r="AC97" s="976"/>
      <c r="AD97" s="976"/>
      <c r="AE97" s="977"/>
      <c r="AF97" s="975" t="s">
        <v>4</v>
      </c>
      <c r="AG97" s="976"/>
      <c r="AH97" s="976"/>
      <c r="AI97" s="976"/>
      <c r="AJ97" s="976"/>
      <c r="AK97" s="976"/>
      <c r="AL97" s="976"/>
      <c r="AM97" s="976"/>
      <c r="AN97" s="976"/>
      <c r="AO97" s="977"/>
      <c r="AP97" s="975" t="s">
        <v>5</v>
      </c>
      <c r="AQ97" s="976"/>
      <c r="AR97" s="976"/>
      <c r="AS97" s="976"/>
      <c r="AT97" s="976"/>
      <c r="AU97" s="976"/>
      <c r="AV97" s="976"/>
      <c r="AW97" s="976"/>
      <c r="AX97" s="976"/>
      <c r="AY97" s="977"/>
    </row>
    <row r="98" spans="1:51" s="2" customFormat="1" ht="36" hidden="1" customHeight="1" x14ac:dyDescent="0.25">
      <c r="A98" s="1128" t="s">
        <v>8</v>
      </c>
      <c r="B98" s="129"/>
      <c r="C98" s="1952"/>
      <c r="D98" s="130"/>
      <c r="E98" s="1952"/>
      <c r="F98" s="132"/>
      <c r="G98" s="132"/>
      <c r="H98" s="130"/>
      <c r="I98" s="1952"/>
      <c r="J98" s="130"/>
      <c r="K98" s="1978"/>
      <c r="L98" s="131"/>
      <c r="M98" s="1952"/>
      <c r="N98" s="130"/>
      <c r="O98" s="1952"/>
      <c r="P98" s="132"/>
      <c r="Q98" s="132"/>
      <c r="R98" s="130"/>
      <c r="S98" s="1952"/>
      <c r="T98" s="130"/>
      <c r="U98" s="1978"/>
      <c r="V98" s="129"/>
      <c r="W98" s="175"/>
      <c r="X98" s="130"/>
      <c r="Y98" s="175"/>
      <c r="Z98" s="132"/>
      <c r="AA98" s="132"/>
      <c r="AB98" s="130"/>
      <c r="AC98" s="1952"/>
      <c r="AD98" s="130"/>
      <c r="AE98" s="1978"/>
      <c r="AF98" s="131"/>
      <c r="AG98" s="1952"/>
      <c r="AH98" s="131"/>
      <c r="AI98" s="1952"/>
      <c r="AJ98" s="132"/>
      <c r="AK98" s="132"/>
      <c r="AL98" s="131"/>
      <c r="AM98" s="1952"/>
      <c r="AN98" s="130"/>
      <c r="AO98" s="1978"/>
      <c r="AP98" s="131"/>
      <c r="AQ98" s="1952"/>
      <c r="AR98" s="130"/>
      <c r="AS98" s="1952"/>
      <c r="AT98" s="132"/>
      <c r="AU98" s="132"/>
      <c r="AV98" s="130"/>
      <c r="AW98" s="1952"/>
      <c r="AX98" s="130"/>
      <c r="AY98" s="1978"/>
    </row>
    <row r="99" spans="1:51" s="2" customFormat="1" ht="36" hidden="1" customHeight="1" x14ac:dyDescent="0.25">
      <c r="A99" s="1105"/>
      <c r="B99" s="1981"/>
      <c r="C99" s="1953"/>
      <c r="D99" s="1968"/>
      <c r="E99" s="1953"/>
      <c r="F99" s="133"/>
      <c r="G99" s="133"/>
      <c r="H99" s="1968"/>
      <c r="I99" s="1953"/>
      <c r="J99" s="1968"/>
      <c r="K99" s="1979"/>
      <c r="L99" s="1981"/>
      <c r="M99" s="1953"/>
      <c r="N99" s="1968"/>
      <c r="O99" s="1953"/>
      <c r="P99" s="133"/>
      <c r="Q99" s="133"/>
      <c r="R99" s="1968"/>
      <c r="S99" s="1953"/>
      <c r="T99" s="1968"/>
      <c r="U99" s="1979"/>
      <c r="V99" s="178"/>
      <c r="W99" s="176"/>
      <c r="X99" s="180"/>
      <c r="Y99" s="176"/>
      <c r="Z99" s="133"/>
      <c r="AA99" s="133"/>
      <c r="AB99" s="1968"/>
      <c r="AC99" s="1953"/>
      <c r="AD99" s="1968"/>
      <c r="AE99" s="1979"/>
      <c r="AF99" s="1981"/>
      <c r="AG99" s="1953"/>
      <c r="AH99" s="1968"/>
      <c r="AI99" s="1953"/>
      <c r="AJ99" s="133"/>
      <c r="AK99" s="133"/>
      <c r="AL99" s="1968"/>
      <c r="AM99" s="1953"/>
      <c r="AN99" s="1968"/>
      <c r="AO99" s="1979"/>
      <c r="AP99" s="1981"/>
      <c r="AQ99" s="1953"/>
      <c r="AR99" s="1968"/>
      <c r="AS99" s="1953"/>
      <c r="AT99" s="133"/>
      <c r="AU99" s="133"/>
      <c r="AV99" s="1968"/>
      <c r="AW99" s="1953"/>
      <c r="AX99" s="1968"/>
      <c r="AY99" s="1979"/>
    </row>
    <row r="100" spans="1:51" s="2" customFormat="1" ht="36" hidden="1" customHeight="1" x14ac:dyDescent="0.25">
      <c r="A100" s="1100" t="s">
        <v>9</v>
      </c>
      <c r="B100" s="1981"/>
      <c r="C100" s="1953"/>
      <c r="D100" s="1968"/>
      <c r="E100" s="1953"/>
      <c r="F100" s="133"/>
      <c r="G100" s="133"/>
      <c r="H100" s="1968"/>
      <c r="I100" s="1953"/>
      <c r="J100" s="1968"/>
      <c r="K100" s="1979"/>
      <c r="L100" s="1981"/>
      <c r="M100" s="1953"/>
      <c r="N100" s="1968"/>
      <c r="O100" s="1953"/>
      <c r="P100" s="133"/>
      <c r="Q100" s="133"/>
      <c r="R100" s="1968"/>
      <c r="S100" s="1953"/>
      <c r="T100" s="1968"/>
      <c r="U100" s="1979"/>
      <c r="V100" s="178"/>
      <c r="W100" s="176"/>
      <c r="X100" s="180"/>
      <c r="Y100" s="176"/>
      <c r="Z100" s="133"/>
      <c r="AA100" s="133"/>
      <c r="AB100" s="1968"/>
      <c r="AC100" s="1953"/>
      <c r="AD100" s="1968"/>
      <c r="AE100" s="1979"/>
      <c r="AF100" s="1981"/>
      <c r="AG100" s="1953"/>
      <c r="AH100" s="1968"/>
      <c r="AI100" s="1953"/>
      <c r="AJ100" s="133"/>
      <c r="AK100" s="133"/>
      <c r="AL100" s="1968"/>
      <c r="AM100" s="1953"/>
      <c r="AN100" s="1968"/>
      <c r="AO100" s="1979"/>
      <c r="AP100" s="1981"/>
      <c r="AQ100" s="1953"/>
      <c r="AR100" s="1968"/>
      <c r="AS100" s="1953"/>
      <c r="AT100" s="133"/>
      <c r="AU100" s="133"/>
      <c r="AV100" s="1968"/>
      <c r="AW100" s="1953"/>
      <c r="AX100" s="1968"/>
      <c r="AY100" s="1979"/>
    </row>
    <row r="101" spans="1:51" s="2" customFormat="1" ht="36" hidden="1" customHeight="1" thickBot="1" x14ac:dyDescent="0.3">
      <c r="A101" s="1101"/>
      <c r="B101" s="1981"/>
      <c r="C101" s="1953"/>
      <c r="D101" s="1968"/>
      <c r="E101" s="1953"/>
      <c r="F101" s="133"/>
      <c r="G101" s="133"/>
      <c r="H101" s="1968"/>
      <c r="I101" s="1953"/>
      <c r="J101" s="1968"/>
      <c r="K101" s="1979"/>
      <c r="L101" s="1982"/>
      <c r="M101" s="1959"/>
      <c r="N101" s="1969"/>
      <c r="O101" s="1959"/>
      <c r="P101" s="134"/>
      <c r="Q101" s="134"/>
      <c r="R101" s="1969"/>
      <c r="S101" s="1959"/>
      <c r="T101" s="1969"/>
      <c r="U101" s="1980"/>
      <c r="V101" s="179"/>
      <c r="W101" s="177"/>
      <c r="X101" s="181"/>
      <c r="Y101" s="177"/>
      <c r="Z101" s="134"/>
      <c r="AA101" s="134"/>
      <c r="AB101" s="1969"/>
      <c r="AC101" s="1959"/>
      <c r="AD101" s="1969"/>
      <c r="AE101" s="1980"/>
      <c r="AF101" s="1982"/>
      <c r="AG101" s="1959"/>
      <c r="AH101" s="1969"/>
      <c r="AI101" s="1959"/>
      <c r="AJ101" s="134"/>
      <c r="AK101" s="134"/>
      <c r="AL101" s="1969"/>
      <c r="AM101" s="1959"/>
      <c r="AN101" s="1969"/>
      <c r="AO101" s="1980"/>
      <c r="AP101" s="1982"/>
      <c r="AQ101" s="1959"/>
      <c r="AR101" s="1969"/>
      <c r="AS101" s="1959"/>
      <c r="AT101" s="134"/>
      <c r="AU101" s="134"/>
      <c r="AV101" s="1969"/>
      <c r="AW101" s="1959"/>
      <c r="AX101" s="1969"/>
      <c r="AY101" s="1980"/>
    </row>
    <row r="102" spans="1:51" s="2" customFormat="1" ht="24" customHeight="1" thickTop="1" thickBot="1" x14ac:dyDescent="0.3">
      <c r="A102" s="19" t="s">
        <v>1</v>
      </c>
      <c r="B102" s="2105" t="s">
        <v>2</v>
      </c>
      <c r="C102" s="2106"/>
      <c r="D102" s="2106"/>
      <c r="E102" s="2106"/>
      <c r="F102" s="2106"/>
      <c r="G102" s="2106"/>
      <c r="H102" s="2106"/>
      <c r="I102" s="2106"/>
      <c r="J102" s="2106"/>
      <c r="K102" s="210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1" s="2" customFormat="1" ht="39.75" customHeight="1" x14ac:dyDescent="0.25">
      <c r="A103" s="1128" t="s">
        <v>1091</v>
      </c>
      <c r="B103" s="1820" t="s">
        <v>30</v>
      </c>
      <c r="C103" s="1821"/>
      <c r="D103" s="1821"/>
      <c r="E103" s="1821"/>
      <c r="F103" s="1821"/>
      <c r="G103" s="1821"/>
      <c r="H103" s="1964" t="s">
        <v>148</v>
      </c>
      <c r="I103" s="1964"/>
      <c r="J103" s="1964"/>
      <c r="K103" s="1965"/>
      <c r="L103" s="1820" t="s">
        <v>31</v>
      </c>
      <c r="M103" s="1821"/>
      <c r="N103" s="1821"/>
      <c r="O103" s="1821"/>
      <c r="P103" s="1821"/>
      <c r="Q103" s="1821"/>
      <c r="R103" s="1964" t="s">
        <v>148</v>
      </c>
      <c r="S103" s="1964"/>
      <c r="T103" s="1964"/>
      <c r="U103" s="1965"/>
      <c r="V103" s="1820" t="s">
        <v>1203</v>
      </c>
      <c r="W103" s="1821"/>
      <c r="X103" s="1821"/>
      <c r="Y103" s="1821"/>
      <c r="Z103" s="1821"/>
      <c r="AA103" s="1821"/>
      <c r="AB103" s="1964" t="s">
        <v>148</v>
      </c>
      <c r="AC103" s="1964"/>
      <c r="AD103" s="1964"/>
      <c r="AE103" s="1965"/>
      <c r="AF103" s="1820" t="s">
        <v>1310</v>
      </c>
      <c r="AG103" s="1821"/>
      <c r="AH103" s="1821"/>
      <c r="AI103" s="1821"/>
      <c r="AJ103" s="1821"/>
      <c r="AK103" s="1821"/>
      <c r="AL103" s="1964" t="s">
        <v>813</v>
      </c>
      <c r="AM103" s="1964"/>
      <c r="AN103" s="1964"/>
      <c r="AO103" s="1965"/>
      <c r="AP103" s="2084"/>
      <c r="AQ103" s="2085"/>
      <c r="AR103" s="2085"/>
      <c r="AS103" s="2085"/>
      <c r="AT103" s="2085"/>
      <c r="AU103" s="2085"/>
      <c r="AV103" s="2194"/>
      <c r="AW103" s="2194"/>
      <c r="AX103" s="2194"/>
      <c r="AY103" s="2195"/>
    </row>
    <row r="104" spans="1:51" s="2" customFormat="1" ht="39.75" customHeight="1" thickBot="1" x14ac:dyDescent="0.3">
      <c r="A104" s="1105"/>
      <c r="B104" s="1957"/>
      <c r="C104" s="1958"/>
      <c r="D104" s="1958"/>
      <c r="E104" s="1958"/>
      <c r="F104" s="1958"/>
      <c r="G104" s="1958"/>
      <c r="H104" s="1116"/>
      <c r="I104" s="1116"/>
      <c r="J104" s="1116"/>
      <c r="K104" s="1117"/>
      <c r="L104" s="1957" t="s">
        <v>32</v>
      </c>
      <c r="M104" s="1958"/>
      <c r="N104" s="1958"/>
      <c r="O104" s="1958"/>
      <c r="P104" s="1958"/>
      <c r="Q104" s="1958"/>
      <c r="R104" s="1116"/>
      <c r="S104" s="1116"/>
      <c r="T104" s="1116"/>
      <c r="U104" s="1117"/>
      <c r="V104" s="1957" t="s">
        <v>33</v>
      </c>
      <c r="W104" s="1958"/>
      <c r="X104" s="1958"/>
      <c r="Y104" s="1958"/>
      <c r="Z104" s="1958"/>
      <c r="AA104" s="1958"/>
      <c r="AB104" s="1116"/>
      <c r="AC104" s="1116"/>
      <c r="AD104" s="1116"/>
      <c r="AE104" s="1117"/>
      <c r="AF104" s="1957" t="s">
        <v>615</v>
      </c>
      <c r="AG104" s="1958"/>
      <c r="AH104" s="1958"/>
      <c r="AI104" s="1958"/>
      <c r="AJ104" s="1958"/>
      <c r="AK104" s="1958"/>
      <c r="AL104" s="1116"/>
      <c r="AM104" s="1116"/>
      <c r="AN104" s="1116"/>
      <c r="AO104" s="1117"/>
      <c r="AP104" s="2086"/>
      <c r="AQ104" s="2087"/>
      <c r="AR104" s="2087"/>
      <c r="AS104" s="2087"/>
      <c r="AT104" s="2087"/>
      <c r="AU104" s="2087"/>
      <c r="AV104" s="1492"/>
      <c r="AW104" s="1492"/>
      <c r="AX104" s="1492"/>
      <c r="AY104" s="1493"/>
    </row>
    <row r="105" spans="1:51" s="2" customFormat="1" ht="39.75" customHeight="1" x14ac:dyDescent="0.25">
      <c r="A105" s="1100" t="s">
        <v>183</v>
      </c>
      <c r="B105" s="1820" t="s">
        <v>1203</v>
      </c>
      <c r="C105" s="1821"/>
      <c r="D105" s="1821"/>
      <c r="E105" s="1821"/>
      <c r="F105" s="1821"/>
      <c r="G105" s="1821"/>
      <c r="H105" s="1964" t="s">
        <v>148</v>
      </c>
      <c r="I105" s="1964"/>
      <c r="J105" s="1964"/>
      <c r="K105" s="1965"/>
      <c r="L105" s="1820" t="s">
        <v>1311</v>
      </c>
      <c r="M105" s="1821"/>
      <c r="N105" s="1821"/>
      <c r="O105" s="1821"/>
      <c r="P105" s="1821"/>
      <c r="Q105" s="1821"/>
      <c r="R105" s="1964" t="s">
        <v>148</v>
      </c>
      <c r="S105" s="1964"/>
      <c r="T105" s="1964"/>
      <c r="U105" s="1965"/>
      <c r="V105" s="1820" t="s">
        <v>1311</v>
      </c>
      <c r="W105" s="1821"/>
      <c r="X105" s="1821"/>
      <c r="Y105" s="1821"/>
      <c r="Z105" s="1821"/>
      <c r="AA105" s="1821"/>
      <c r="AB105" s="1964" t="s">
        <v>148</v>
      </c>
      <c r="AC105" s="1964"/>
      <c r="AD105" s="1964"/>
      <c r="AE105" s="1965"/>
      <c r="AF105" s="1820" t="s">
        <v>30</v>
      </c>
      <c r="AG105" s="1821"/>
      <c r="AH105" s="1821"/>
      <c r="AI105" s="1821"/>
      <c r="AJ105" s="1821"/>
      <c r="AK105" s="1821"/>
      <c r="AL105" s="1964" t="s">
        <v>148</v>
      </c>
      <c r="AM105" s="1964"/>
      <c r="AN105" s="1964"/>
      <c r="AO105" s="1965"/>
      <c r="AP105" s="2084"/>
      <c r="AQ105" s="2085"/>
      <c r="AR105" s="2085"/>
      <c r="AS105" s="2085"/>
      <c r="AT105" s="2085"/>
      <c r="AU105" s="2085"/>
      <c r="AV105" s="2194"/>
      <c r="AW105" s="2194"/>
      <c r="AX105" s="2194"/>
      <c r="AY105" s="2195"/>
    </row>
    <row r="106" spans="1:51" s="2" customFormat="1" ht="39.75" customHeight="1" thickBot="1" x14ac:dyDescent="0.3">
      <c r="A106" s="1105"/>
      <c r="B106" s="1957" t="s">
        <v>33</v>
      </c>
      <c r="C106" s="1958"/>
      <c r="D106" s="1958"/>
      <c r="E106" s="1958"/>
      <c r="F106" s="1958"/>
      <c r="G106" s="1958"/>
      <c r="H106" s="1116"/>
      <c r="I106" s="1116"/>
      <c r="J106" s="1116"/>
      <c r="K106" s="1117"/>
      <c r="L106" s="1957" t="s">
        <v>31</v>
      </c>
      <c r="M106" s="1958"/>
      <c r="N106" s="1958"/>
      <c r="O106" s="1958"/>
      <c r="P106" s="1958"/>
      <c r="Q106" s="1958"/>
      <c r="R106" s="1116"/>
      <c r="S106" s="1116"/>
      <c r="T106" s="1116"/>
      <c r="U106" s="1117"/>
      <c r="V106" s="1957" t="s">
        <v>33</v>
      </c>
      <c r="W106" s="1958"/>
      <c r="X106" s="1958"/>
      <c r="Y106" s="1958"/>
      <c r="Z106" s="1958"/>
      <c r="AA106" s="1958"/>
      <c r="AB106" s="1116"/>
      <c r="AC106" s="1116"/>
      <c r="AD106" s="1116"/>
      <c r="AE106" s="1117"/>
      <c r="AF106" s="1957" t="s">
        <v>30</v>
      </c>
      <c r="AG106" s="1958"/>
      <c r="AH106" s="1958"/>
      <c r="AI106" s="1958"/>
      <c r="AJ106" s="1958"/>
      <c r="AK106" s="1958"/>
      <c r="AL106" s="1116"/>
      <c r="AM106" s="1116"/>
      <c r="AN106" s="1116"/>
      <c r="AO106" s="1117"/>
      <c r="AP106" s="2086"/>
      <c r="AQ106" s="2087"/>
      <c r="AR106" s="2087"/>
      <c r="AS106" s="2087"/>
      <c r="AT106" s="2087"/>
      <c r="AU106" s="2087"/>
      <c r="AV106" s="1492"/>
      <c r="AW106" s="1492"/>
      <c r="AX106" s="1492"/>
      <c r="AY106" s="1493"/>
    </row>
    <row r="107" spans="1:51" s="2" customFormat="1" ht="39.75" customHeight="1" x14ac:dyDescent="0.25">
      <c r="A107" s="1321" t="s">
        <v>182</v>
      </c>
      <c r="B107" s="139" t="s">
        <v>569</v>
      </c>
      <c r="C107" s="1945" t="s">
        <v>145</v>
      </c>
      <c r="D107" s="139" t="s">
        <v>570</v>
      </c>
      <c r="E107" s="1904" t="s">
        <v>158</v>
      </c>
      <c r="F107" s="140" t="s">
        <v>571</v>
      </c>
      <c r="G107" s="1946" t="s">
        <v>667</v>
      </c>
      <c r="H107" s="347"/>
      <c r="I107" s="1952"/>
      <c r="J107" s="633"/>
      <c r="K107" s="634"/>
      <c r="L107" s="623" t="s">
        <v>569</v>
      </c>
      <c r="M107" s="1975" t="s">
        <v>554</v>
      </c>
      <c r="N107" s="422" t="s">
        <v>570</v>
      </c>
      <c r="O107" s="1811" t="s">
        <v>1286</v>
      </c>
      <c r="P107" s="140" t="s">
        <v>571</v>
      </c>
      <c r="Q107" s="1810" t="s">
        <v>158</v>
      </c>
      <c r="R107" s="624"/>
      <c r="S107" s="1941"/>
      <c r="T107" s="600"/>
      <c r="U107" s="635"/>
      <c r="V107" s="623" t="s">
        <v>569</v>
      </c>
      <c r="W107" s="1811" t="s">
        <v>1286</v>
      </c>
      <c r="X107" s="141" t="s">
        <v>570</v>
      </c>
      <c r="Y107" s="1904" t="s">
        <v>554</v>
      </c>
      <c r="Z107" s="787"/>
      <c r="AA107" s="2088"/>
      <c r="AB107" s="610"/>
      <c r="AC107" s="1953"/>
      <c r="AE107" s="127"/>
      <c r="AF107" s="2050" t="s">
        <v>31</v>
      </c>
      <c r="AG107" s="2051"/>
      <c r="AH107" s="2051"/>
      <c r="AI107" s="2051"/>
      <c r="AJ107" s="2051"/>
      <c r="AK107" s="2051"/>
      <c r="AL107" s="1964" t="s">
        <v>148</v>
      </c>
      <c r="AM107" s="1964"/>
      <c r="AN107" s="1964"/>
      <c r="AO107" s="1965"/>
      <c r="AP107" s="187"/>
      <c r="AQ107" s="2088"/>
      <c r="AR107" s="186"/>
      <c r="AS107" s="1990"/>
      <c r="AT107" s="186"/>
      <c r="AU107" s="1991"/>
      <c r="AV107" s="186"/>
      <c r="AW107" s="1991"/>
      <c r="AX107" s="171"/>
      <c r="AY107" s="1804"/>
    </row>
    <row r="108" spans="1:51" s="2" customFormat="1" ht="39.75" customHeight="1" thickBot="1" x14ac:dyDescent="0.3">
      <c r="A108" s="1321"/>
      <c r="B108" s="1796" t="s">
        <v>1203</v>
      </c>
      <c r="C108" s="1946"/>
      <c r="D108" s="1797" t="s">
        <v>31</v>
      </c>
      <c r="E108" s="1811"/>
      <c r="F108" s="1797" t="s">
        <v>30</v>
      </c>
      <c r="G108" s="1946"/>
      <c r="H108" s="1939"/>
      <c r="I108" s="1953"/>
      <c r="J108" s="636"/>
      <c r="K108" s="637"/>
      <c r="L108" s="1899" t="s">
        <v>1311</v>
      </c>
      <c r="M108" s="1975"/>
      <c r="N108" s="1758" t="s">
        <v>1310</v>
      </c>
      <c r="O108" s="1811"/>
      <c r="P108" s="1797" t="s">
        <v>31</v>
      </c>
      <c r="Q108" s="1811"/>
      <c r="R108" s="1943"/>
      <c r="S108" s="1941"/>
      <c r="T108" s="600"/>
      <c r="U108" s="635"/>
      <c r="V108" s="1899" t="s">
        <v>1310</v>
      </c>
      <c r="W108" s="1811"/>
      <c r="X108" s="1758" t="s">
        <v>1311</v>
      </c>
      <c r="Y108" s="1811"/>
      <c r="Z108" s="1814"/>
      <c r="AA108" s="2088"/>
      <c r="AB108" s="1939"/>
      <c r="AC108" s="1953"/>
      <c r="AE108" s="127"/>
      <c r="AF108" s="1957" t="s">
        <v>32</v>
      </c>
      <c r="AG108" s="1958"/>
      <c r="AH108" s="1958"/>
      <c r="AI108" s="1958"/>
      <c r="AJ108" s="1958"/>
      <c r="AK108" s="1958"/>
      <c r="AL108" s="1116"/>
      <c r="AM108" s="1116"/>
      <c r="AN108" s="1116"/>
      <c r="AO108" s="1117"/>
      <c r="AP108" s="1423"/>
      <c r="AQ108" s="2088"/>
      <c r="AR108" s="1713"/>
      <c r="AS108" s="1991"/>
      <c r="AT108" s="1713"/>
      <c r="AU108" s="1991"/>
      <c r="AV108" s="1713"/>
      <c r="AW108" s="1991"/>
      <c r="AX108" s="1166"/>
      <c r="AY108" s="1804"/>
    </row>
    <row r="109" spans="1:51" s="2" customFormat="1" ht="39.75" customHeight="1" x14ac:dyDescent="0.25">
      <c r="A109" s="1105" t="s">
        <v>184</v>
      </c>
      <c r="B109" s="1796"/>
      <c r="C109" s="1946"/>
      <c r="D109" s="1797"/>
      <c r="E109" s="1811"/>
      <c r="F109" s="1797"/>
      <c r="G109" s="1946"/>
      <c r="H109" s="1939"/>
      <c r="I109" s="1953"/>
      <c r="J109" s="636"/>
      <c r="K109" s="637"/>
      <c r="L109" s="1899"/>
      <c r="M109" s="1975"/>
      <c r="N109" s="1758"/>
      <c r="O109" s="1811"/>
      <c r="P109" s="1797"/>
      <c r="Q109" s="1811"/>
      <c r="R109" s="1943"/>
      <c r="S109" s="1941"/>
      <c r="T109" s="600"/>
      <c r="U109" s="635"/>
      <c r="V109" s="1899"/>
      <c r="W109" s="1811"/>
      <c r="X109" s="1758"/>
      <c r="Y109" s="1811"/>
      <c r="Z109" s="1814"/>
      <c r="AA109" s="2088"/>
      <c r="AB109" s="1939"/>
      <c r="AC109" s="1953"/>
      <c r="AE109" s="127"/>
      <c r="AH109" s="140" t="s">
        <v>570</v>
      </c>
      <c r="AI109" s="1811" t="s">
        <v>667</v>
      </c>
      <c r="AJ109" s="227" t="s">
        <v>571</v>
      </c>
      <c r="AK109" s="1904" t="s">
        <v>1286</v>
      </c>
      <c r="AL109" s="347"/>
      <c r="AM109" s="2198"/>
      <c r="AN109" s="244"/>
      <c r="AO109" s="232"/>
      <c r="AP109" s="1423"/>
      <c r="AQ109" s="2088"/>
      <c r="AR109" s="1713"/>
      <c r="AS109" s="1991"/>
      <c r="AT109" s="1713"/>
      <c r="AU109" s="1991"/>
      <c r="AV109" s="1713"/>
      <c r="AW109" s="1991"/>
      <c r="AX109" s="1166"/>
      <c r="AY109" s="1804"/>
    </row>
    <row r="110" spans="1:51" s="2" customFormat="1" ht="39.75" customHeight="1" x14ac:dyDescent="0.25">
      <c r="A110" s="1321"/>
      <c r="B110" s="1879"/>
      <c r="C110" s="1947"/>
      <c r="D110" s="1893"/>
      <c r="E110" s="1905"/>
      <c r="F110" s="1893"/>
      <c r="G110" s="1946"/>
      <c r="H110" s="1948"/>
      <c r="I110" s="1954"/>
      <c r="J110" s="702"/>
      <c r="K110" s="703"/>
      <c r="L110" s="1956"/>
      <c r="M110" s="1976"/>
      <c r="N110" s="1758"/>
      <c r="O110" s="1811"/>
      <c r="P110" s="1893"/>
      <c r="Q110" s="1811"/>
      <c r="R110" s="1944"/>
      <c r="S110" s="1942"/>
      <c r="T110" s="704"/>
      <c r="U110" s="705"/>
      <c r="V110" s="1899"/>
      <c r="W110" s="1811"/>
      <c r="X110" s="1759"/>
      <c r="Y110" s="1905"/>
      <c r="Z110" s="1936"/>
      <c r="AA110" s="2108"/>
      <c r="AB110" s="1948"/>
      <c r="AC110" s="1954"/>
      <c r="AE110" s="707"/>
      <c r="AH110" s="1797" t="s">
        <v>30</v>
      </c>
      <c r="AI110" s="1811"/>
      <c r="AJ110" s="1797" t="s">
        <v>1310</v>
      </c>
      <c r="AK110" s="1811"/>
      <c r="AL110" s="1939"/>
      <c r="AM110" s="2199"/>
      <c r="AN110" s="242"/>
      <c r="AO110" s="233"/>
      <c r="AP110" s="1423"/>
      <c r="AQ110" s="2088"/>
      <c r="AR110" s="1714"/>
      <c r="AS110" s="2072"/>
      <c r="AT110" s="1714"/>
      <c r="AU110" s="2072"/>
      <c r="AV110" s="1714"/>
      <c r="AW110" s="2072"/>
      <c r="AX110" s="1397"/>
      <c r="AY110" s="1805"/>
    </row>
    <row r="111" spans="1:51" s="2" customFormat="1" ht="39.75" customHeight="1" x14ac:dyDescent="0.25">
      <c r="A111" s="1105" t="s">
        <v>185</v>
      </c>
      <c r="B111" s="482" t="s">
        <v>569</v>
      </c>
      <c r="C111" s="2011" t="s">
        <v>158</v>
      </c>
      <c r="D111" s="143" t="s">
        <v>570</v>
      </c>
      <c r="E111" s="2008" t="s">
        <v>145</v>
      </c>
      <c r="F111" s="143" t="s">
        <v>571</v>
      </c>
      <c r="G111" s="1960" t="s">
        <v>1257</v>
      </c>
      <c r="H111" s="638"/>
      <c r="I111" s="2094"/>
      <c r="J111" s="636"/>
      <c r="K111" s="637"/>
      <c r="L111" s="623" t="s">
        <v>569</v>
      </c>
      <c r="M111" s="1946" t="s">
        <v>667</v>
      </c>
      <c r="N111" s="1758"/>
      <c r="O111" s="1811"/>
      <c r="P111" s="227" t="s">
        <v>571</v>
      </c>
      <c r="Q111" s="1810" t="s">
        <v>554</v>
      </c>
      <c r="R111" s="624"/>
      <c r="S111" s="1941"/>
      <c r="T111" s="600"/>
      <c r="U111" s="635"/>
      <c r="V111" s="1899"/>
      <c r="W111" s="1811"/>
      <c r="X111" s="600"/>
      <c r="Z111" s="747"/>
      <c r="AA111" s="748"/>
      <c r="AB111" s="610"/>
      <c r="AC111" s="1953"/>
      <c r="AD111" s="706"/>
      <c r="AE111" s="127"/>
      <c r="AH111" s="1797"/>
      <c r="AI111" s="1811"/>
      <c r="AJ111" s="1797"/>
      <c r="AK111" s="1811"/>
      <c r="AL111" s="1939"/>
      <c r="AM111" s="2199"/>
      <c r="AN111" s="242"/>
      <c r="AO111" s="233"/>
      <c r="AP111" s="183"/>
      <c r="AQ111" s="2193"/>
      <c r="AR111" s="167"/>
      <c r="AS111" s="1934"/>
      <c r="AT111" s="167"/>
      <c r="AU111" s="2200"/>
      <c r="AV111" s="167"/>
      <c r="AW111" s="1934"/>
      <c r="AX111" s="171"/>
      <c r="AY111" s="1804"/>
    </row>
    <row r="112" spans="1:51" s="2" customFormat="1" ht="39.75" customHeight="1" x14ac:dyDescent="0.25">
      <c r="A112" s="1321"/>
      <c r="B112" s="1796" t="s">
        <v>31</v>
      </c>
      <c r="C112" s="1811"/>
      <c r="D112" s="1758" t="s">
        <v>1203</v>
      </c>
      <c r="E112" s="1946"/>
      <c r="F112" s="1878" t="s">
        <v>1203</v>
      </c>
      <c r="G112" s="1961"/>
      <c r="H112" s="1939"/>
      <c r="I112" s="1953"/>
      <c r="J112" s="636"/>
      <c r="K112" s="637"/>
      <c r="L112" s="1899" t="s">
        <v>30</v>
      </c>
      <c r="M112" s="1946"/>
      <c r="N112" s="1759"/>
      <c r="O112" s="1905"/>
      <c r="P112" s="1797" t="s">
        <v>1311</v>
      </c>
      <c r="Q112" s="1811"/>
      <c r="R112" s="1943"/>
      <c r="S112" s="1941"/>
      <c r="T112" s="600"/>
      <c r="U112" s="635"/>
      <c r="V112" s="1956"/>
      <c r="W112" s="1905"/>
      <c r="X112" s="600"/>
      <c r="Z112" s="277"/>
      <c r="AA112" s="277"/>
      <c r="AB112" s="1939"/>
      <c r="AC112" s="1953"/>
      <c r="AE112" s="127"/>
      <c r="AH112" s="1893"/>
      <c r="AI112" s="1811"/>
      <c r="AJ112" s="1797"/>
      <c r="AK112" s="1811"/>
      <c r="AL112" s="1939"/>
      <c r="AM112" s="2199"/>
      <c r="AN112" s="243"/>
      <c r="AO112" s="234"/>
      <c r="AP112" s="1423"/>
      <c r="AQ112" s="1991"/>
      <c r="AR112" s="2004"/>
      <c r="AS112" s="1934"/>
      <c r="AT112" s="2004"/>
      <c r="AU112" s="1934"/>
      <c r="AV112" s="2004"/>
      <c r="AW112" s="1934"/>
      <c r="AX112" s="1166"/>
      <c r="AY112" s="1804"/>
    </row>
    <row r="113" spans="1:51" s="2" customFormat="1" ht="39.75" customHeight="1" x14ac:dyDescent="0.25">
      <c r="A113" s="1486" t="s">
        <v>186</v>
      </c>
      <c r="B113" s="1796"/>
      <c r="C113" s="1811"/>
      <c r="D113" s="1758"/>
      <c r="E113" s="1946"/>
      <c r="F113" s="1878"/>
      <c r="G113" s="1961"/>
      <c r="H113" s="1939"/>
      <c r="I113" s="1953"/>
      <c r="J113" s="636"/>
      <c r="K113" s="637"/>
      <c r="L113" s="1899"/>
      <c r="M113" s="1946"/>
      <c r="N113" s="600"/>
      <c r="O113" s="600"/>
      <c r="P113" s="1797"/>
      <c r="Q113" s="1811"/>
      <c r="R113" s="1943"/>
      <c r="S113" s="1941"/>
      <c r="T113" s="600"/>
      <c r="U113" s="635"/>
      <c r="V113" s="639"/>
      <c r="W113" s="600"/>
      <c r="X113" s="600"/>
      <c r="Z113" s="277"/>
      <c r="AA113" s="277"/>
      <c r="AB113" s="1939"/>
      <c r="AC113" s="1953"/>
      <c r="AE113" s="127"/>
      <c r="AF113" s="184"/>
      <c r="AI113" s="300"/>
      <c r="AJ113" s="1797"/>
      <c r="AK113" s="1811"/>
      <c r="AL113" s="1939"/>
      <c r="AM113" s="1953"/>
      <c r="AN113" s="235"/>
      <c r="AO113" s="233"/>
      <c r="AP113" s="1423"/>
      <c r="AQ113" s="1991"/>
      <c r="AR113" s="2004"/>
      <c r="AS113" s="1934"/>
      <c r="AT113" s="2004"/>
      <c r="AU113" s="1934"/>
      <c r="AV113" s="2004"/>
      <c r="AW113" s="1934"/>
      <c r="AX113" s="1166"/>
      <c r="AY113" s="1804"/>
    </row>
    <row r="114" spans="1:51" s="2" customFormat="1" ht="39.75" customHeight="1" thickBot="1" x14ac:dyDescent="0.3">
      <c r="A114" s="1483"/>
      <c r="B114" s="1949"/>
      <c r="C114" s="1812"/>
      <c r="D114" s="1950"/>
      <c r="E114" s="2009"/>
      <c r="F114" s="1878"/>
      <c r="G114" s="1962"/>
      <c r="H114" s="1940"/>
      <c r="I114" s="1959"/>
      <c r="J114" s="640"/>
      <c r="K114" s="641"/>
      <c r="L114" s="1938"/>
      <c r="M114" s="2009"/>
      <c r="N114" s="642"/>
      <c r="O114" s="642"/>
      <c r="P114" s="1797"/>
      <c r="Q114" s="1812"/>
      <c r="R114" s="2010"/>
      <c r="S114" s="1951"/>
      <c r="T114" s="642"/>
      <c r="U114" s="643"/>
      <c r="V114" s="644"/>
      <c r="W114" s="642"/>
      <c r="X114" s="642"/>
      <c r="Y114" s="126"/>
      <c r="Z114" s="605"/>
      <c r="AA114" s="603"/>
      <c r="AB114" s="1940"/>
      <c r="AC114" s="1959"/>
      <c r="AD114" s="126"/>
      <c r="AE114" s="185"/>
      <c r="AF114" s="190"/>
      <c r="AG114" s="126"/>
      <c r="AH114" s="126"/>
      <c r="AI114" s="126"/>
      <c r="AJ114" s="2001"/>
      <c r="AK114" s="1812"/>
      <c r="AL114" s="1940"/>
      <c r="AM114" s="1959"/>
      <c r="AN114" s="236"/>
      <c r="AO114" s="237"/>
      <c r="AP114" s="1480"/>
      <c r="AQ114" s="1992"/>
      <c r="AR114" s="2005"/>
      <c r="AS114" s="1986"/>
      <c r="AT114" s="2005"/>
      <c r="AU114" s="1986"/>
      <c r="AV114" s="2005"/>
      <c r="AW114" s="1986"/>
      <c r="AX114" s="1167"/>
      <c r="AY114" s="1977"/>
    </row>
    <row r="115" spans="1:51" ht="26.25" customHeight="1" thickBot="1" x14ac:dyDescent="0.3">
      <c r="A115" s="514"/>
      <c r="D115" s="226"/>
      <c r="F115" s="226"/>
      <c r="G115" s="226"/>
      <c r="P115" s="226"/>
      <c r="Q115" s="226"/>
    </row>
    <row r="116" spans="1:51" ht="18.75" customHeight="1" thickBot="1" x14ac:dyDescent="0.3">
      <c r="A116" s="1033" t="s">
        <v>214</v>
      </c>
      <c r="B116" s="935"/>
      <c r="C116" s="1033" t="s">
        <v>215</v>
      </c>
      <c r="D116" s="934"/>
      <c r="E116" s="934"/>
      <c r="F116" s="934"/>
      <c r="G116" s="934"/>
      <c r="H116" s="934"/>
      <c r="I116" s="934"/>
      <c r="J116" s="934"/>
      <c r="K116" s="934"/>
      <c r="L116" s="934"/>
      <c r="M116" s="934"/>
      <c r="N116" s="934"/>
      <c r="O116" s="1033" t="s">
        <v>295</v>
      </c>
      <c r="P116" s="934"/>
      <c r="Q116" s="934"/>
      <c r="R116" s="935"/>
      <c r="S116" s="1033" t="s">
        <v>139</v>
      </c>
      <c r="T116" s="935"/>
      <c r="U116" s="1787" t="s">
        <v>163</v>
      </c>
      <c r="V116" s="1788"/>
      <c r="W116" s="1788"/>
      <c r="X116" s="1788"/>
      <c r="Y116" s="1788"/>
      <c r="Z116" s="1788"/>
      <c r="AA116" s="1788"/>
      <c r="AB116" s="1788"/>
      <c r="AC116" s="1788"/>
      <c r="AD116" s="1788"/>
      <c r="AE116" s="1788"/>
      <c r="AF116" s="1788"/>
      <c r="AG116" s="1788"/>
      <c r="AH116" s="1788"/>
      <c r="AI116" s="1788"/>
      <c r="AJ116" s="1788"/>
      <c r="AK116" s="1788"/>
      <c r="AL116" s="1788"/>
      <c r="AM116" s="1788"/>
      <c r="AN116" s="1788"/>
      <c r="AO116" s="1789"/>
      <c r="AQ116" s="1866" t="s">
        <v>1012</v>
      </c>
      <c r="AR116" s="1867"/>
      <c r="AS116" s="1867"/>
      <c r="AT116" s="1868"/>
      <c r="AV116" s="1873"/>
      <c r="AW116" s="1873"/>
      <c r="AX116" s="1873"/>
      <c r="AY116" s="1873"/>
    </row>
    <row r="117" spans="1:51" ht="15" x14ac:dyDescent="0.25">
      <c r="A117" s="1848" t="str">
        <f>VLOOKUP(O117,ASIGNATURAS!$F$1:$L$1022, 3, FALSE)</f>
        <v>EXP. GRAFICA II</v>
      </c>
      <c r="B117" s="1849"/>
      <c r="C117" s="1818" t="str">
        <f>VLOOKUP(O117,ASIGNATURAS!$F$1:$L$1022, 4, FALSE)</f>
        <v>Expresión Gráfica II</v>
      </c>
      <c r="D117" s="1818"/>
      <c r="E117" s="1818"/>
      <c r="F117" s="1818"/>
      <c r="G117" s="1818"/>
      <c r="H117" s="1818"/>
      <c r="I117" s="1818"/>
      <c r="J117" s="1818"/>
      <c r="K117" s="1818"/>
      <c r="L117" s="1818"/>
      <c r="M117" s="1818"/>
      <c r="N117" s="1818"/>
      <c r="O117" s="1819">
        <v>6317</v>
      </c>
      <c r="P117" s="1819"/>
      <c r="Q117" s="1819"/>
      <c r="R117" s="1819"/>
      <c r="S117" s="1819">
        <f>VLOOKUP(O117,ASIGNATURAS!$F$1:$L$1022, 5, FALSE)</f>
        <v>6</v>
      </c>
      <c r="T117" s="1819"/>
      <c r="U117" s="1857" t="str">
        <f>VLOOKUP(O117,ASIGNATURAS!$F$1:$L$1022, 6, FALSE)</f>
        <v>Arturo de Román Miguel, Esteban García Maté</v>
      </c>
      <c r="V117" s="1858"/>
      <c r="W117" s="1858"/>
      <c r="X117" s="1858"/>
      <c r="Y117" s="1858"/>
      <c r="Z117" s="1858"/>
      <c r="AA117" s="1858"/>
      <c r="AB117" s="1858"/>
      <c r="AC117" s="1858"/>
      <c r="AD117" s="1858"/>
      <c r="AE117" s="1858"/>
      <c r="AF117" s="1858"/>
      <c r="AG117" s="1858"/>
      <c r="AH117" s="1858"/>
      <c r="AI117" s="1858"/>
      <c r="AJ117" s="1858"/>
      <c r="AK117" s="1858"/>
      <c r="AL117" s="1858"/>
      <c r="AM117" s="1858"/>
      <c r="AN117" s="1858"/>
      <c r="AO117" s="1859"/>
      <c r="AQ117" s="1869"/>
      <c r="AR117" s="1870"/>
      <c r="AS117" s="1870"/>
      <c r="AT117" s="1871"/>
      <c r="AV117" s="1873"/>
      <c r="AW117" s="1873"/>
      <c r="AX117" s="1873"/>
      <c r="AY117" s="1873"/>
    </row>
    <row r="118" spans="1:51" ht="15" customHeight="1" x14ac:dyDescent="0.25">
      <c r="A118" s="1848" t="str">
        <f>VLOOKUP(O118,ASIGNATURAS!$F$1:$L$1022, 3, FALSE)</f>
        <v>ELECTRONICA</v>
      </c>
      <c r="B118" s="1849"/>
      <c r="C118" s="1795" t="str">
        <f>VLOOKUP(O118,ASIGNATURAS!$F$1:$L$1022, 4, FALSE)</f>
        <v>Fundamentos de Electrónica</v>
      </c>
      <c r="D118" s="1795"/>
      <c r="E118" s="1795"/>
      <c r="F118" s="1795"/>
      <c r="G118" s="1795"/>
      <c r="H118" s="1795"/>
      <c r="I118" s="1795"/>
      <c r="J118" s="1795"/>
      <c r="K118" s="1795"/>
      <c r="L118" s="1795"/>
      <c r="M118" s="1795"/>
      <c r="N118" s="1795"/>
      <c r="O118" s="1765">
        <v>6318</v>
      </c>
      <c r="P118" s="1765"/>
      <c r="Q118" s="1765"/>
      <c r="R118" s="1765"/>
      <c r="S118" s="1765">
        <f>VLOOKUP(O118,ASIGNATURAS!$F$1:$L$1022, 5, FALSE)</f>
        <v>6</v>
      </c>
      <c r="T118" s="1765"/>
      <c r="U118" s="1770" t="str">
        <f>VLOOKUP(O118,ASIGNATURAS!$F$1:$L$1022, 6, FALSE)</f>
        <v>María Isabel Dieste Velasco</v>
      </c>
      <c r="V118" s="1771"/>
      <c r="W118" s="1771"/>
      <c r="X118" s="1771"/>
      <c r="Y118" s="1771"/>
      <c r="Z118" s="1771"/>
      <c r="AA118" s="1771"/>
      <c r="AB118" s="1771"/>
      <c r="AC118" s="1771"/>
      <c r="AD118" s="1771"/>
      <c r="AE118" s="1771"/>
      <c r="AF118" s="1771"/>
      <c r="AG118" s="1771"/>
      <c r="AH118" s="1771"/>
      <c r="AI118" s="1771"/>
      <c r="AJ118" s="1771"/>
      <c r="AK118" s="1771"/>
      <c r="AL118" s="1771"/>
      <c r="AM118" s="1771"/>
      <c r="AN118" s="1771"/>
      <c r="AO118" s="1772"/>
      <c r="AQ118" s="1784" t="s">
        <v>1008</v>
      </c>
      <c r="AR118" s="1785"/>
      <c r="AS118" s="1785"/>
      <c r="AT118" s="1786"/>
      <c r="AV118" s="2070"/>
      <c r="AW118" s="2070"/>
      <c r="AX118" s="2070"/>
      <c r="AY118" s="2070"/>
    </row>
    <row r="119" spans="1:51" ht="15" customHeight="1" x14ac:dyDescent="0.25">
      <c r="A119" s="1848" t="str">
        <f>VLOOKUP(O119,ASIGNATURAS!$F$1:$L$1022, 3, FALSE)</f>
        <v>MECANISMOS</v>
      </c>
      <c r="B119" s="1849"/>
      <c r="C119" s="1795" t="str">
        <f>VLOOKUP(O119,ASIGNATURAS!$F$1:$L$1022, 4, FALSE)</f>
        <v>Mecanismos</v>
      </c>
      <c r="D119" s="1795"/>
      <c r="E119" s="1795"/>
      <c r="F119" s="1795"/>
      <c r="G119" s="1795"/>
      <c r="H119" s="1795"/>
      <c r="I119" s="1795"/>
      <c r="J119" s="1795"/>
      <c r="K119" s="1795"/>
      <c r="L119" s="1795"/>
      <c r="M119" s="1795"/>
      <c r="N119" s="1795"/>
      <c r="O119" s="1765">
        <v>6319</v>
      </c>
      <c r="P119" s="1765"/>
      <c r="Q119" s="1765"/>
      <c r="R119" s="1765"/>
      <c r="S119" s="1765">
        <f>VLOOKUP(O119,ASIGNATURAS!$F$1:$L$1022, 5, FALSE)</f>
        <v>6</v>
      </c>
      <c r="T119" s="1765"/>
      <c r="U119" s="1770" t="str">
        <f>VLOOKUP(O119,ASIGNATURAS!$F$1:$L$1022, 6, FALSE)</f>
        <v>Alberto Martínez Martínez</v>
      </c>
      <c r="V119" s="1771"/>
      <c r="W119" s="1771"/>
      <c r="X119" s="1771"/>
      <c r="Y119" s="1771"/>
      <c r="Z119" s="1771"/>
      <c r="AA119" s="1771"/>
      <c r="AB119" s="1771"/>
      <c r="AC119" s="1771"/>
      <c r="AD119" s="1771"/>
      <c r="AE119" s="1771"/>
      <c r="AF119" s="1771"/>
      <c r="AG119" s="1771"/>
      <c r="AH119" s="1771"/>
      <c r="AI119" s="1771"/>
      <c r="AJ119" s="1771"/>
      <c r="AK119" s="1771"/>
      <c r="AL119" s="1771"/>
      <c r="AM119" s="1771"/>
      <c r="AN119" s="1771"/>
      <c r="AO119" s="1772"/>
      <c r="AQ119" s="1779" t="s">
        <v>569</v>
      </c>
      <c r="AR119" s="1780"/>
      <c r="AS119" s="1780"/>
      <c r="AT119" s="1781"/>
      <c r="AV119" s="1874"/>
      <c r="AW119" s="1874"/>
      <c r="AX119" s="1874"/>
      <c r="AY119" s="1874"/>
    </row>
    <row r="120" spans="1:51" ht="15" customHeight="1" x14ac:dyDescent="0.25">
      <c r="A120" s="1848" t="str">
        <f>VLOOKUP(O120,ASIGNATURAS!$F$1:$L$1022, 3, FALSE)</f>
        <v>E.C.N.</v>
      </c>
      <c r="B120" s="1849"/>
      <c r="C120" s="1795" t="str">
        <f>VLOOKUP(O120,ASIGNATURAS!$F$1:$L$1022, 4, FALSE)</f>
        <v>Estadística y Cálculo Numérico</v>
      </c>
      <c r="D120" s="1795"/>
      <c r="E120" s="1795"/>
      <c r="F120" s="1795"/>
      <c r="G120" s="1795"/>
      <c r="H120" s="1795"/>
      <c r="I120" s="1795"/>
      <c r="J120" s="1795"/>
      <c r="K120" s="1795"/>
      <c r="L120" s="1795"/>
      <c r="M120" s="1795"/>
      <c r="N120" s="1795"/>
      <c r="O120" s="1765">
        <v>6320</v>
      </c>
      <c r="P120" s="1765"/>
      <c r="Q120" s="1765"/>
      <c r="R120" s="1765"/>
      <c r="S120" s="1765">
        <f>VLOOKUP(O120,ASIGNATURAS!$F$1:$L$1022, 5, FALSE)</f>
        <v>6</v>
      </c>
      <c r="T120" s="1765"/>
      <c r="U120" s="1770" t="str">
        <f>VLOOKUP(O120,ASIGNATURAS!$F$1:$L$1022, 6, FALSE)</f>
        <v>Alvaro Díez-Labín, Raúl del Barrio</v>
      </c>
      <c r="V120" s="1771"/>
      <c r="W120" s="1771"/>
      <c r="X120" s="1771"/>
      <c r="Y120" s="1771"/>
      <c r="Z120" s="1771"/>
      <c r="AA120" s="1771"/>
      <c r="AB120" s="1771"/>
      <c r="AC120" s="1771"/>
      <c r="AD120" s="1771"/>
      <c r="AE120" s="1771"/>
      <c r="AF120" s="1771"/>
      <c r="AG120" s="1771"/>
      <c r="AH120" s="1771"/>
      <c r="AI120" s="1771"/>
      <c r="AJ120" s="1771"/>
      <c r="AK120" s="1771"/>
      <c r="AL120" s="1771"/>
      <c r="AM120" s="1771"/>
      <c r="AN120" s="1771"/>
      <c r="AO120" s="1772"/>
      <c r="AQ120" s="1779" t="s">
        <v>570</v>
      </c>
      <c r="AR120" s="1780"/>
      <c r="AS120" s="1780"/>
      <c r="AT120" s="1781"/>
      <c r="AV120" s="1874"/>
      <c r="AW120" s="1874"/>
      <c r="AX120" s="1874"/>
      <c r="AY120" s="1874"/>
    </row>
    <row r="121" spans="1:51" ht="15.75" customHeight="1" thickBot="1" x14ac:dyDescent="0.3">
      <c r="A121" s="1782" t="str">
        <f>VLOOKUP(O121,ASIGNATURAS!$F$1:$L$1022, 3, FALSE)</f>
        <v>ORGANIZACION</v>
      </c>
      <c r="B121" s="1783"/>
      <c r="C121" s="1831" t="str">
        <f>VLOOKUP(O121,ASIGNATURAS!$F$1:$L$1022, 4, FALSE)</f>
        <v>Organización de la Producción</v>
      </c>
      <c r="D121" s="1831"/>
      <c r="E121" s="1831"/>
      <c r="F121" s="1831"/>
      <c r="G121" s="1831"/>
      <c r="H121" s="1831"/>
      <c r="I121" s="1831"/>
      <c r="J121" s="1831"/>
      <c r="K121" s="1831"/>
      <c r="L121" s="1831"/>
      <c r="M121" s="1831"/>
      <c r="N121" s="1831"/>
      <c r="O121" s="1766">
        <v>6321</v>
      </c>
      <c r="P121" s="1766"/>
      <c r="Q121" s="1766"/>
      <c r="R121" s="1766"/>
      <c r="S121" s="1766">
        <f>VLOOKUP(O121,ASIGNATURAS!$F$1:$L$1022, 5, FALSE)</f>
        <v>6</v>
      </c>
      <c r="T121" s="1766"/>
      <c r="U121" s="1833" t="str">
        <f>VLOOKUP(O121,ASIGNATURAS!$F$1:$L$1022, 6, FALSE)</f>
        <v>Óscar Jesus González Alcántara</v>
      </c>
      <c r="V121" s="1834"/>
      <c r="W121" s="1834"/>
      <c r="X121" s="1834"/>
      <c r="Y121" s="1834"/>
      <c r="Z121" s="1834"/>
      <c r="AA121" s="1834"/>
      <c r="AB121" s="1834"/>
      <c r="AC121" s="1834"/>
      <c r="AD121" s="1834"/>
      <c r="AE121" s="1834"/>
      <c r="AF121" s="1834"/>
      <c r="AG121" s="1834"/>
      <c r="AH121" s="1834"/>
      <c r="AI121" s="1834"/>
      <c r="AJ121" s="1834"/>
      <c r="AK121" s="1834"/>
      <c r="AL121" s="1834"/>
      <c r="AM121" s="1834"/>
      <c r="AN121" s="1834"/>
      <c r="AO121" s="1835"/>
      <c r="AQ121" s="1779" t="s">
        <v>571</v>
      </c>
      <c r="AR121" s="1780"/>
      <c r="AS121" s="1780"/>
      <c r="AT121" s="1781"/>
      <c r="AV121" s="1170"/>
      <c r="AW121" s="1170"/>
      <c r="AX121" s="1170"/>
      <c r="AY121" s="1170"/>
    </row>
    <row r="122" spans="1:51" ht="13.8" thickBot="1" x14ac:dyDescent="0.3">
      <c r="AQ122" s="1906" t="s">
        <v>572</v>
      </c>
      <c r="AR122" s="1907"/>
      <c r="AS122" s="1907"/>
      <c r="AT122" s="1908"/>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1135" t="str">
        <f>VLOOKUP(A130,ASIGNATURAS!$A$2:$D$151, 3, FALSE)</f>
        <v>3º Grado en Ingeniería Mecánica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6"/>
      <c r="Z127" s="1136"/>
      <c r="AA127" s="1136"/>
      <c r="AB127" s="1136"/>
      <c r="AC127" s="1136"/>
      <c r="AD127" s="1136"/>
      <c r="AE127" s="1136"/>
      <c r="AF127" s="1136"/>
      <c r="AG127" s="1136"/>
      <c r="AH127" s="1136"/>
      <c r="AI127" s="1136"/>
      <c r="AJ127" s="1136"/>
      <c r="AK127" s="1136"/>
      <c r="AL127" s="1136"/>
      <c r="AM127" s="1136"/>
      <c r="AN127" s="1136"/>
      <c r="AO127" s="1137"/>
      <c r="AP127" s="975" t="str">
        <f>Aulas!G5</f>
        <v>Curso 2024-2025</v>
      </c>
      <c r="AQ127" s="976"/>
      <c r="AR127" s="976"/>
      <c r="AS127" s="976"/>
      <c r="AT127" s="976"/>
      <c r="AU127" s="976"/>
      <c r="AV127" s="976"/>
      <c r="AW127" s="976"/>
      <c r="AX127" s="976"/>
      <c r="AY127" s="977"/>
    </row>
    <row r="128" spans="1:5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c r="AA128" s="1133"/>
      <c r="AB128" s="1133"/>
      <c r="AC128" s="1133"/>
      <c r="AD128" s="1133"/>
      <c r="AE128" s="1133"/>
      <c r="AF128" s="1133"/>
      <c r="AG128" s="1133"/>
      <c r="AH128" s="1133"/>
      <c r="AI128" s="1133"/>
      <c r="AJ128" s="1133"/>
      <c r="AK128" s="1133"/>
      <c r="AL128" s="1133"/>
      <c r="AM128" s="1133"/>
      <c r="AN128" s="1133"/>
      <c r="AO128" s="1134"/>
      <c r="AP128" s="1798" t="s">
        <v>155</v>
      </c>
      <c r="AQ128" s="1013"/>
      <c r="AR128" s="1013"/>
      <c r="AS128" s="1013"/>
      <c r="AT128" s="1013"/>
      <c r="AU128" s="1013"/>
      <c r="AV128" s="1013"/>
      <c r="AW128" s="1013"/>
      <c r="AX128" s="1013"/>
      <c r="AY128" s="1014"/>
    </row>
    <row r="129" spans="1:70"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3"/>
      <c r="Z129" s="1133"/>
      <c r="AA129" s="1133"/>
      <c r="AB129" s="1133"/>
      <c r="AC129" s="1133"/>
      <c r="AD129" s="1133"/>
      <c r="AE129" s="1133"/>
      <c r="AF129" s="1133"/>
      <c r="AG129" s="1133"/>
      <c r="AH129" s="1133"/>
      <c r="AI129" s="1133"/>
      <c r="AJ129" s="1133"/>
      <c r="AK129" s="1133"/>
      <c r="AL129" s="1133"/>
      <c r="AM129" s="1133"/>
      <c r="AN129" s="1133"/>
      <c r="AO129" s="1134"/>
      <c r="AP129" s="1799"/>
      <c r="AQ129" s="1015"/>
      <c r="AR129" s="1015"/>
      <c r="AS129" s="1015"/>
      <c r="AT129" s="1015"/>
      <c r="AU129" s="1015"/>
      <c r="AV129" s="1015"/>
      <c r="AW129" s="1015"/>
      <c r="AX129" s="1015"/>
      <c r="AY129" s="1016"/>
    </row>
    <row r="130" spans="1:70" ht="38.25" customHeight="1" thickBot="1" x14ac:dyDescent="0.3">
      <c r="A130" s="9" t="s">
        <v>18</v>
      </c>
    </row>
    <row r="131" spans="1:70" s="2" customFormat="1" ht="24" customHeight="1" thickBot="1" x14ac:dyDescent="0.3">
      <c r="A131" s="19" t="s">
        <v>1</v>
      </c>
      <c r="B131" s="1064" t="s">
        <v>2</v>
      </c>
      <c r="C131" s="1065"/>
      <c r="D131" s="1065"/>
      <c r="E131" s="1065"/>
      <c r="F131" s="1065"/>
      <c r="G131" s="1065"/>
      <c r="H131" s="1065"/>
      <c r="I131" s="1065"/>
      <c r="J131" s="1065"/>
      <c r="K131" s="1066"/>
      <c r="L131" s="1064" t="s">
        <v>3</v>
      </c>
      <c r="M131" s="1065"/>
      <c r="N131" s="1065"/>
      <c r="O131" s="1065"/>
      <c r="P131" s="1065"/>
      <c r="Q131" s="1065"/>
      <c r="R131" s="1065"/>
      <c r="S131" s="1065"/>
      <c r="T131" s="1065"/>
      <c r="U131" s="1066"/>
      <c r="V131" s="1064" t="s">
        <v>135</v>
      </c>
      <c r="W131" s="1065"/>
      <c r="X131" s="1065"/>
      <c r="Y131" s="1065"/>
      <c r="Z131" s="1065"/>
      <c r="AA131" s="1065"/>
      <c r="AB131" s="1065"/>
      <c r="AC131" s="1065"/>
      <c r="AD131" s="1065"/>
      <c r="AE131" s="1066"/>
      <c r="AF131" s="1064" t="s">
        <v>4</v>
      </c>
      <c r="AG131" s="1065"/>
      <c r="AH131" s="1065"/>
      <c r="AI131" s="1065"/>
      <c r="AJ131" s="1065"/>
      <c r="AK131" s="1065"/>
      <c r="AL131" s="1065"/>
      <c r="AM131" s="1065"/>
      <c r="AN131" s="1065"/>
      <c r="AO131" s="1066"/>
      <c r="AP131" s="975" t="s">
        <v>5</v>
      </c>
      <c r="AQ131" s="976"/>
      <c r="AR131" s="976"/>
      <c r="AS131" s="976"/>
      <c r="AT131" s="976"/>
      <c r="AU131" s="976"/>
      <c r="AV131" s="976"/>
      <c r="AW131" s="976"/>
      <c r="AX131" s="976"/>
      <c r="AY131" s="977"/>
    </row>
    <row r="132" spans="1:70" ht="42.75" customHeight="1" x14ac:dyDescent="0.25">
      <c r="A132" s="1160" t="s">
        <v>10</v>
      </c>
      <c r="B132" s="1820" t="s">
        <v>34</v>
      </c>
      <c r="C132" s="1821"/>
      <c r="D132" s="1821"/>
      <c r="E132" s="1821"/>
      <c r="F132" s="1821"/>
      <c r="G132" s="1821"/>
      <c r="H132" s="1821"/>
      <c r="I132" s="1821"/>
      <c r="J132" s="1821"/>
      <c r="K132" s="1822"/>
      <c r="L132" s="1820" t="s">
        <v>35</v>
      </c>
      <c r="M132" s="1821"/>
      <c r="N132" s="1821"/>
      <c r="O132" s="1821"/>
      <c r="P132" s="1821"/>
      <c r="Q132" s="1821"/>
      <c r="R132" s="1821"/>
      <c r="S132" s="1821"/>
      <c r="T132" s="1821"/>
      <c r="U132" s="1822"/>
      <c r="V132" s="1820" t="s">
        <v>36</v>
      </c>
      <c r="W132" s="1821"/>
      <c r="X132" s="1821"/>
      <c r="Y132" s="1821"/>
      <c r="Z132" s="1821"/>
      <c r="AA132" s="1821"/>
      <c r="AB132" s="1821"/>
      <c r="AC132" s="1821"/>
      <c r="AD132" s="1821"/>
      <c r="AE132" s="1822"/>
      <c r="AF132" s="1820" t="s">
        <v>167</v>
      </c>
      <c r="AG132" s="1821"/>
      <c r="AH132" s="1821"/>
      <c r="AI132" s="1821"/>
      <c r="AJ132" s="1821"/>
      <c r="AK132" s="1821"/>
      <c r="AL132" s="1821"/>
      <c r="AM132" s="1821"/>
      <c r="AN132" s="1821"/>
      <c r="AO132" s="1822"/>
      <c r="AP132" s="2084"/>
      <c r="AQ132" s="2085"/>
      <c r="AR132" s="2085"/>
      <c r="AS132" s="2085"/>
      <c r="AT132" s="2085"/>
      <c r="AU132" s="2085"/>
      <c r="AV132" s="2085"/>
      <c r="AW132" s="2085"/>
      <c r="AX132" s="2085"/>
      <c r="AY132" s="2197"/>
    </row>
    <row r="133" spans="1:70" ht="42.75" customHeight="1" thickBot="1" x14ac:dyDescent="0.3">
      <c r="A133" s="1161"/>
      <c r="B133" s="1767" t="s">
        <v>155</v>
      </c>
      <c r="C133" s="1768"/>
      <c r="D133" s="1768"/>
      <c r="E133" s="1768"/>
      <c r="F133" s="1768"/>
      <c r="G133" s="1768"/>
      <c r="H133" s="1768"/>
      <c r="I133" s="1768"/>
      <c r="J133" s="1768"/>
      <c r="K133" s="1769"/>
      <c r="L133" s="1767" t="s">
        <v>528</v>
      </c>
      <c r="M133" s="1768"/>
      <c r="N133" s="1768"/>
      <c r="O133" s="1768"/>
      <c r="P133" s="1768"/>
      <c r="Q133" s="1768"/>
      <c r="R133" s="1768"/>
      <c r="S133" s="1768"/>
      <c r="T133" s="1768"/>
      <c r="U133" s="1769"/>
      <c r="V133" s="1767" t="s">
        <v>155</v>
      </c>
      <c r="W133" s="1768"/>
      <c r="X133" s="1768"/>
      <c r="Y133" s="1768"/>
      <c r="Z133" s="1768"/>
      <c r="AA133" s="1768"/>
      <c r="AB133" s="1768"/>
      <c r="AC133" s="1768"/>
      <c r="AD133" s="1768"/>
      <c r="AE133" s="1769"/>
      <c r="AF133" s="1767" t="s">
        <v>155</v>
      </c>
      <c r="AG133" s="1768"/>
      <c r="AH133" s="1768"/>
      <c r="AI133" s="1768"/>
      <c r="AJ133" s="1768"/>
      <c r="AK133" s="1768"/>
      <c r="AL133" s="1768"/>
      <c r="AM133" s="1768"/>
      <c r="AN133" s="1768"/>
      <c r="AO133" s="1769"/>
      <c r="AP133" s="1773"/>
      <c r="AQ133" s="1774"/>
      <c r="AR133" s="1774"/>
      <c r="AS133" s="1774"/>
      <c r="AT133" s="1774"/>
      <c r="AU133" s="1774"/>
      <c r="AV133" s="1774"/>
      <c r="AW133" s="1774"/>
      <c r="AX133" s="1774"/>
      <c r="AY133" s="1775"/>
    </row>
    <row r="134" spans="1:70" ht="42.75" customHeight="1" x14ac:dyDescent="0.25">
      <c r="A134" s="1161" t="s">
        <v>11</v>
      </c>
      <c r="B134" s="1760" t="s">
        <v>34</v>
      </c>
      <c r="C134" s="1761"/>
      <c r="D134" s="1761"/>
      <c r="E134" s="1761"/>
      <c r="F134" s="1761"/>
      <c r="G134" s="1761"/>
      <c r="H134" s="1761"/>
      <c r="I134" s="1761"/>
      <c r="J134" s="1761"/>
      <c r="K134" s="1762"/>
      <c r="L134" s="1760" t="s">
        <v>975</v>
      </c>
      <c r="M134" s="1761"/>
      <c r="N134" s="1761"/>
      <c r="O134" s="1761"/>
      <c r="P134" s="1761"/>
      <c r="Q134" s="1761"/>
      <c r="R134" s="1761"/>
      <c r="S134" s="1761"/>
      <c r="T134" s="1761"/>
      <c r="U134" s="1762"/>
      <c r="V134" s="1760" t="s">
        <v>36</v>
      </c>
      <c r="W134" s="1761"/>
      <c r="X134" s="1761"/>
      <c r="Y134" s="1761"/>
      <c r="Z134" s="1761"/>
      <c r="AA134" s="1761"/>
      <c r="AB134" s="1761"/>
      <c r="AC134" s="1761"/>
      <c r="AD134" s="1761"/>
      <c r="AE134" s="1762"/>
      <c r="AF134" s="1760" t="s">
        <v>167</v>
      </c>
      <c r="AG134" s="1761"/>
      <c r="AH134" s="1761"/>
      <c r="AI134" s="1761"/>
      <c r="AJ134" s="1761"/>
      <c r="AK134" s="1761"/>
      <c r="AL134" s="1761"/>
      <c r="AM134" s="1761"/>
      <c r="AN134" s="1761"/>
      <c r="AO134" s="1762"/>
      <c r="AP134" s="1820" t="s">
        <v>975</v>
      </c>
      <c r="AQ134" s="1821"/>
      <c r="AR134" s="1821"/>
      <c r="AS134" s="1821"/>
      <c r="AT134" s="1821"/>
      <c r="AU134" s="1821"/>
      <c r="AV134" s="1821"/>
      <c r="AW134" s="1821"/>
      <c r="AX134" s="1821"/>
      <c r="AY134" s="1822"/>
    </row>
    <row r="135" spans="1:70" ht="42.75" customHeight="1" thickBot="1" x14ac:dyDescent="0.3">
      <c r="A135" s="1161"/>
      <c r="B135" s="1767" t="s">
        <v>155</v>
      </c>
      <c r="C135" s="1768"/>
      <c r="D135" s="1768"/>
      <c r="E135" s="1768"/>
      <c r="F135" s="1768"/>
      <c r="G135" s="1768"/>
      <c r="H135" s="1768"/>
      <c r="I135" s="1768"/>
      <c r="J135" s="1768"/>
      <c r="K135" s="1769"/>
      <c r="L135" s="1767" t="s">
        <v>155</v>
      </c>
      <c r="M135" s="1768"/>
      <c r="N135" s="1768"/>
      <c r="O135" s="1768"/>
      <c r="P135" s="1768"/>
      <c r="Q135" s="1768"/>
      <c r="R135" s="1768"/>
      <c r="S135" s="1768"/>
      <c r="T135" s="1768"/>
      <c r="U135" s="1769"/>
      <c r="V135" s="1767" t="s">
        <v>155</v>
      </c>
      <c r="W135" s="1768"/>
      <c r="X135" s="1768"/>
      <c r="Y135" s="1768"/>
      <c r="Z135" s="1768"/>
      <c r="AA135" s="1768"/>
      <c r="AB135" s="1768"/>
      <c r="AC135" s="1768"/>
      <c r="AD135" s="1768"/>
      <c r="AE135" s="1769"/>
      <c r="AF135" s="1767" t="s">
        <v>155</v>
      </c>
      <c r="AG135" s="1768"/>
      <c r="AH135" s="1768"/>
      <c r="AI135" s="1768"/>
      <c r="AJ135" s="1768"/>
      <c r="AK135" s="1768"/>
      <c r="AL135" s="1768"/>
      <c r="AM135" s="1768"/>
      <c r="AN135" s="1768"/>
      <c r="AO135" s="1769"/>
      <c r="AP135" s="1767" t="s">
        <v>155</v>
      </c>
      <c r="AQ135" s="1768"/>
      <c r="AR135" s="1768"/>
      <c r="AS135" s="1768"/>
      <c r="AT135" s="1768"/>
      <c r="AU135" s="1768"/>
      <c r="AV135" s="1768"/>
      <c r="AW135" s="1768"/>
      <c r="AX135" s="1768"/>
      <c r="AY135" s="1769"/>
    </row>
    <row r="136" spans="1:70" ht="42.75" customHeight="1" x14ac:dyDescent="0.25">
      <c r="A136" s="1321" t="s">
        <v>6</v>
      </c>
      <c r="B136" s="468" t="s">
        <v>569</v>
      </c>
      <c r="C136" s="1790" t="s">
        <v>1275</v>
      </c>
      <c r="D136" s="227" t="s">
        <v>570</v>
      </c>
      <c r="E136" s="1904" t="s">
        <v>1273</v>
      </c>
      <c r="F136" s="564"/>
      <c r="G136" s="1777"/>
      <c r="H136" s="490"/>
      <c r="I136" s="1792"/>
      <c r="J136" s="1922"/>
      <c r="K136" s="2032"/>
      <c r="L136" s="484" t="s">
        <v>569</v>
      </c>
      <c r="M136" s="1808" t="s">
        <v>528</v>
      </c>
      <c r="N136" s="422" t="s">
        <v>570</v>
      </c>
      <c r="O136" s="1790" t="s">
        <v>1275</v>
      </c>
      <c r="P136" s="564"/>
      <c r="Q136" s="1934"/>
      <c r="T136" s="212"/>
      <c r="U136" s="1803"/>
      <c r="V136" s="422" t="s">
        <v>569</v>
      </c>
      <c r="W136" s="1888" t="s">
        <v>1276</v>
      </c>
      <c r="X136" s="227" t="s">
        <v>570</v>
      </c>
      <c r="Y136" s="1791" t="s">
        <v>528</v>
      </c>
      <c r="Z136" s="168"/>
      <c r="AA136" s="488"/>
      <c r="AD136" s="170"/>
      <c r="AE136" s="1896"/>
      <c r="AF136" s="422" t="s">
        <v>569</v>
      </c>
      <c r="AG136" s="1808" t="s">
        <v>160</v>
      </c>
      <c r="AH136" s="469" t="s">
        <v>570</v>
      </c>
      <c r="AI136" s="1813" t="s">
        <v>1276</v>
      </c>
      <c r="AJ136" s="629"/>
      <c r="AK136" s="1887"/>
      <c r="AL136" s="630"/>
      <c r="AM136" s="1753"/>
      <c r="AN136" s="239"/>
      <c r="AO136" s="1896"/>
      <c r="AP136" s="769"/>
      <c r="AQ136" s="1990"/>
      <c r="AR136" s="170"/>
      <c r="AS136" s="1776"/>
      <c r="AT136" s="630"/>
      <c r="AU136" s="1753"/>
      <c r="AX136" s="168"/>
      <c r="AY136" s="1880"/>
    </row>
    <row r="137" spans="1:70" ht="42.75" customHeight="1" x14ac:dyDescent="0.4">
      <c r="A137" s="1321"/>
      <c r="B137" s="1878" t="s">
        <v>36</v>
      </c>
      <c r="C137" s="1791"/>
      <c r="D137" s="1797" t="s">
        <v>167</v>
      </c>
      <c r="E137" s="1811"/>
      <c r="F137" s="1806"/>
      <c r="G137" s="1777"/>
      <c r="H137" s="1814"/>
      <c r="I137" s="1793"/>
      <c r="J137" s="1922"/>
      <c r="K137" s="2032"/>
      <c r="L137" s="1915" t="s">
        <v>35</v>
      </c>
      <c r="M137" s="1808"/>
      <c r="N137" s="1758" t="s">
        <v>36</v>
      </c>
      <c r="O137" s="1791"/>
      <c r="P137" s="1751"/>
      <c r="Q137" s="1934"/>
      <c r="T137" s="1794"/>
      <c r="U137" s="1804"/>
      <c r="V137" s="1758" t="s">
        <v>34</v>
      </c>
      <c r="W137" s="1888"/>
      <c r="X137" s="1797" t="s">
        <v>35</v>
      </c>
      <c r="Y137" s="1791"/>
      <c r="Z137" s="228"/>
      <c r="AA137" s="488"/>
      <c r="AD137" s="1751"/>
      <c r="AE137" s="1896"/>
      <c r="AF137" s="1758" t="s">
        <v>975</v>
      </c>
      <c r="AG137" s="1808"/>
      <c r="AH137" s="1758" t="s">
        <v>34</v>
      </c>
      <c r="AI137" s="1808"/>
      <c r="AJ137" s="1752"/>
      <c r="AK137" s="1887"/>
      <c r="AL137" s="1756"/>
      <c r="AM137" s="1754"/>
      <c r="AN137" s="1751"/>
      <c r="AO137" s="1896"/>
      <c r="AP137" s="1890"/>
      <c r="AQ137" s="1991"/>
      <c r="AR137" s="1751"/>
      <c r="AS137" s="1777"/>
      <c r="AT137" s="1756"/>
      <c r="AU137" s="1754"/>
      <c r="AX137" s="1794"/>
      <c r="AY137" s="1880"/>
      <c r="AZ137" s="81"/>
    </row>
    <row r="138" spans="1:70" ht="42.75" customHeight="1" x14ac:dyDescent="0.25">
      <c r="A138" s="1161" t="s">
        <v>7</v>
      </c>
      <c r="B138" s="1796"/>
      <c r="C138" s="1791"/>
      <c r="D138" s="1797"/>
      <c r="E138" s="1811"/>
      <c r="F138" s="1806"/>
      <c r="G138" s="1777"/>
      <c r="H138" s="1814"/>
      <c r="I138" s="1793"/>
      <c r="J138" s="1922"/>
      <c r="K138" s="2032"/>
      <c r="L138" s="1915"/>
      <c r="M138" s="1808"/>
      <c r="N138" s="1758"/>
      <c r="O138" s="1791"/>
      <c r="P138" s="1751"/>
      <c r="Q138" s="1934"/>
      <c r="T138" s="1794"/>
      <c r="U138" s="1804"/>
      <c r="V138" s="1758"/>
      <c r="W138" s="1888"/>
      <c r="X138" s="1797"/>
      <c r="Y138" s="1791"/>
      <c r="Z138" s="228"/>
      <c r="AA138" s="488"/>
      <c r="AD138" s="1751"/>
      <c r="AE138" s="1896"/>
      <c r="AF138" s="1758"/>
      <c r="AG138" s="1808"/>
      <c r="AH138" s="1758"/>
      <c r="AI138" s="1808"/>
      <c r="AJ138" s="1752"/>
      <c r="AK138" s="1887"/>
      <c r="AL138" s="1756"/>
      <c r="AM138" s="1754"/>
      <c r="AN138" s="1751"/>
      <c r="AO138" s="1896"/>
      <c r="AP138" s="1890"/>
      <c r="AQ138" s="1991"/>
      <c r="AR138" s="1751"/>
      <c r="AS138" s="1777"/>
      <c r="AT138" s="1756"/>
      <c r="AU138" s="1754"/>
      <c r="AX138" s="1794"/>
      <c r="AY138" s="1880"/>
      <c r="BQ138" s="613"/>
      <c r="BR138" s="2190"/>
    </row>
    <row r="139" spans="1:70" ht="42.75" customHeight="1" x14ac:dyDescent="0.25">
      <c r="A139" s="1161"/>
      <c r="B139" s="1879"/>
      <c r="C139" s="1791"/>
      <c r="D139" s="1893"/>
      <c r="E139" s="1905"/>
      <c r="F139" s="1807"/>
      <c r="G139" s="1778"/>
      <c r="H139" s="1936"/>
      <c r="I139" s="1919"/>
      <c r="J139" s="2092"/>
      <c r="K139" s="2093"/>
      <c r="L139" s="1915"/>
      <c r="M139" s="1808"/>
      <c r="N139" s="1759"/>
      <c r="O139" s="1791"/>
      <c r="P139" s="1802"/>
      <c r="Q139" s="1935"/>
      <c r="T139" s="1850"/>
      <c r="U139" s="1805"/>
      <c r="V139" s="1759"/>
      <c r="W139" s="1889"/>
      <c r="X139" s="1797"/>
      <c r="Y139" s="1791"/>
      <c r="Z139" s="228"/>
      <c r="AA139" s="488"/>
      <c r="AD139" s="1802"/>
      <c r="AE139" s="1897"/>
      <c r="AF139" s="1759"/>
      <c r="AG139" s="1809"/>
      <c r="AH139" s="1759"/>
      <c r="AI139" s="1809"/>
      <c r="AJ139" s="1937"/>
      <c r="AK139" s="1892"/>
      <c r="AL139" s="1757"/>
      <c r="AM139" s="1755"/>
      <c r="AN139" s="1802"/>
      <c r="AO139" s="1897"/>
      <c r="AP139" s="1891"/>
      <c r="AQ139" s="2072"/>
      <c r="AR139" s="1802"/>
      <c r="AS139" s="1778"/>
      <c r="AT139" s="1757"/>
      <c r="AU139" s="1755"/>
      <c r="AV139" s="196"/>
      <c r="AX139" s="1850"/>
      <c r="AY139" s="1881"/>
      <c r="BJ139" s="613"/>
      <c r="BK139" s="2190"/>
      <c r="BQ139" s="2191"/>
      <c r="BR139" s="2190"/>
    </row>
    <row r="140" spans="1:70" ht="42.75" customHeight="1" x14ac:dyDescent="0.25">
      <c r="A140" s="1161" t="s">
        <v>8</v>
      </c>
      <c r="B140" s="623" t="s">
        <v>569</v>
      </c>
      <c r="C140" s="1810" t="s">
        <v>1288</v>
      </c>
      <c r="D140" s="168"/>
      <c r="E140" s="1926"/>
      <c r="F140" s="564"/>
      <c r="G140" s="1877"/>
      <c r="H140" s="1920"/>
      <c r="I140" s="1921"/>
      <c r="J140" s="1920"/>
      <c r="K140" s="1830"/>
      <c r="L140" s="1915"/>
      <c r="M140" s="1808"/>
      <c r="N140" s="168"/>
      <c r="O140" s="1926"/>
      <c r="P140" s="564"/>
      <c r="Q140" s="1877"/>
      <c r="R140" s="1763"/>
      <c r="S140" s="1763"/>
      <c r="T140" s="419"/>
      <c r="U140" s="1777"/>
      <c r="V140" s="169"/>
      <c r="W140" s="1877"/>
      <c r="X140" s="1797"/>
      <c r="Y140" s="1791"/>
      <c r="Z140" s="419"/>
      <c r="AA140" s="1877"/>
      <c r="AB140" s="489"/>
      <c r="AC140" s="1886"/>
      <c r="AD140" s="419"/>
      <c r="AE140" s="1896"/>
      <c r="AH140" s="194"/>
      <c r="AJ140" s="616"/>
      <c r="AK140" s="1931"/>
      <c r="AL140" s="170"/>
      <c r="AM140" s="1877"/>
      <c r="AN140" s="170"/>
      <c r="AO140" s="1896"/>
      <c r="AP140" s="169"/>
      <c r="AQ140" s="1777"/>
      <c r="AR140" s="419"/>
      <c r="AS140" s="1877"/>
      <c r="AT140" s="170"/>
      <c r="AU140" s="1777"/>
      <c r="AV140" s="170"/>
      <c r="AW140" s="1877"/>
      <c r="AX140" s="168"/>
      <c r="AY140" s="1880"/>
      <c r="BJ140" s="2191"/>
      <c r="BK140" s="2190"/>
      <c r="BQ140" s="2191"/>
      <c r="BR140" s="2190"/>
    </row>
    <row r="141" spans="1:70" ht="42.75" customHeight="1" x14ac:dyDescent="0.25">
      <c r="A141" s="1161"/>
      <c r="B141" s="1899" t="s">
        <v>167</v>
      </c>
      <c r="C141" s="1811"/>
      <c r="D141" s="1794"/>
      <c r="E141" s="1793"/>
      <c r="F141" s="1751"/>
      <c r="G141" s="1777"/>
      <c r="H141" s="1922"/>
      <c r="I141" s="1923"/>
      <c r="J141" s="1922"/>
      <c r="K141" s="2032"/>
      <c r="L141" s="1916"/>
      <c r="M141" s="1809"/>
      <c r="N141" s="1794"/>
      <c r="O141" s="1793"/>
      <c r="P141" s="1806"/>
      <c r="Q141" s="1777"/>
      <c r="R141" s="1764"/>
      <c r="S141" s="1764"/>
      <c r="T141" s="1751"/>
      <c r="U141" s="1777"/>
      <c r="V141" s="1750"/>
      <c r="W141" s="1777"/>
      <c r="X141" s="1893"/>
      <c r="Y141" s="1900"/>
      <c r="Z141" s="1751"/>
      <c r="AA141" s="1777"/>
      <c r="AB141" s="1752"/>
      <c r="AC141" s="1887"/>
      <c r="AD141" s="1751"/>
      <c r="AE141" s="1896"/>
      <c r="AF141" s="33"/>
      <c r="AG141" s="240"/>
      <c r="AI141" s="240"/>
      <c r="AJ141" s="630"/>
      <c r="AK141" s="1931"/>
      <c r="AL141" s="1751"/>
      <c r="AM141" s="1777"/>
      <c r="AN141" s="1751"/>
      <c r="AO141" s="1896"/>
      <c r="AP141" s="1750"/>
      <c r="AQ141" s="1777"/>
      <c r="AR141" s="1751"/>
      <c r="AS141" s="1777"/>
      <c r="AT141" s="1751"/>
      <c r="AU141" s="1777"/>
      <c r="AV141" s="1751"/>
      <c r="AW141" s="1777"/>
      <c r="AX141" s="1794"/>
      <c r="AY141" s="1880"/>
      <c r="BJ141" s="2191"/>
      <c r="BK141" s="2190"/>
      <c r="BQ141" s="2191"/>
      <c r="BR141" s="2190"/>
    </row>
    <row r="142" spans="1:70" ht="42.75" customHeight="1" x14ac:dyDescent="0.25">
      <c r="A142" s="1161" t="s">
        <v>9</v>
      </c>
      <c r="B142" s="1899"/>
      <c r="C142" s="1811"/>
      <c r="D142" s="1794"/>
      <c r="E142" s="1793"/>
      <c r="F142" s="1751"/>
      <c r="G142" s="1777"/>
      <c r="H142" s="1922"/>
      <c r="I142" s="1923"/>
      <c r="J142" s="1922"/>
      <c r="K142" s="2032"/>
      <c r="L142" s="241"/>
      <c r="M142" s="231"/>
      <c r="N142" s="1794"/>
      <c r="O142" s="1793"/>
      <c r="P142" s="1806"/>
      <c r="Q142" s="1777"/>
      <c r="R142" s="1764"/>
      <c r="S142" s="1764"/>
      <c r="T142" s="1751"/>
      <c r="U142" s="1777"/>
      <c r="V142" s="1750"/>
      <c r="W142" s="1777"/>
      <c r="Z142" s="1751"/>
      <c r="AA142" s="1777"/>
      <c r="AB142" s="1752"/>
      <c r="AC142" s="1887"/>
      <c r="AD142" s="1751"/>
      <c r="AE142" s="1896"/>
      <c r="AF142" s="33"/>
      <c r="AG142" s="240"/>
      <c r="AI142" s="240"/>
      <c r="AJ142" s="241"/>
      <c r="AK142" s="231"/>
      <c r="AL142" s="1751"/>
      <c r="AM142" s="1777"/>
      <c r="AN142" s="1751"/>
      <c r="AO142" s="1896"/>
      <c r="AP142" s="1750"/>
      <c r="AQ142" s="1777"/>
      <c r="AR142" s="1751"/>
      <c r="AS142" s="1777"/>
      <c r="AT142" s="1751"/>
      <c r="AU142" s="1777"/>
      <c r="AV142" s="1751"/>
      <c r="AW142" s="1777"/>
      <c r="AX142" s="1794"/>
      <c r="AY142" s="1880"/>
      <c r="BJ142" s="2191"/>
      <c r="BK142" s="2190"/>
      <c r="BQ142" s="2191"/>
      <c r="BR142" s="2190"/>
    </row>
    <row r="143" spans="1:70" ht="48.75" customHeight="1" thickBot="1" x14ac:dyDescent="0.3">
      <c r="A143" s="1238"/>
      <c r="B143" s="1899"/>
      <c r="C143" s="1812"/>
      <c r="D143" s="1794"/>
      <c r="E143" s="1793"/>
      <c r="F143" s="1882"/>
      <c r="G143" s="1777"/>
      <c r="H143" s="1924"/>
      <c r="I143" s="1925"/>
      <c r="J143" s="1922"/>
      <c r="K143" s="2032"/>
      <c r="L143" s="614"/>
      <c r="M143" s="231"/>
      <c r="N143" s="1794"/>
      <c r="O143" s="1927"/>
      <c r="P143" s="1806"/>
      <c r="Q143" s="1898"/>
      <c r="R143" s="1764"/>
      <c r="S143" s="1764"/>
      <c r="T143" s="1751"/>
      <c r="U143" s="1777"/>
      <c r="V143" s="1750"/>
      <c r="W143" s="1898"/>
      <c r="Z143" s="1882"/>
      <c r="AA143" s="1898"/>
      <c r="AB143" s="1752"/>
      <c r="AC143" s="1887"/>
      <c r="AD143" s="1751"/>
      <c r="AE143" s="1896"/>
      <c r="AF143" s="34"/>
      <c r="AG143" s="240"/>
      <c r="AH143" s="407"/>
      <c r="AJ143" s="615"/>
      <c r="AK143" s="231"/>
      <c r="AL143" s="1882"/>
      <c r="AM143" s="1898"/>
      <c r="AN143" s="1751"/>
      <c r="AO143" s="1896"/>
      <c r="AP143" s="1750"/>
      <c r="AQ143" s="1777"/>
      <c r="AR143" s="1751"/>
      <c r="AS143" s="1777"/>
      <c r="AT143" s="1882"/>
      <c r="AU143" s="1777"/>
      <c r="AV143" s="1751"/>
      <c r="AW143" s="1777"/>
      <c r="AX143" s="1794"/>
      <c r="AY143" s="1880"/>
      <c r="BJ143" s="2191"/>
      <c r="BK143" s="2190"/>
      <c r="BQ143" s="2191"/>
      <c r="BR143" s="2190"/>
    </row>
    <row r="144" spans="1:70" s="2" customFormat="1" ht="24.75" customHeight="1" thickBot="1" x14ac:dyDescent="0.3">
      <c r="A144" s="24" t="s">
        <v>1</v>
      </c>
      <c r="B144" s="975" t="s">
        <v>2</v>
      </c>
      <c r="C144" s="976"/>
      <c r="D144" s="976"/>
      <c r="E144" s="976"/>
      <c r="F144" s="976"/>
      <c r="G144" s="976"/>
      <c r="H144" s="976"/>
      <c r="I144" s="976"/>
      <c r="J144" s="976"/>
      <c r="K144" s="977"/>
      <c r="L144" s="975" t="s">
        <v>3</v>
      </c>
      <c r="M144" s="976"/>
      <c r="N144" s="976"/>
      <c r="O144" s="976"/>
      <c r="P144" s="976"/>
      <c r="Q144" s="976"/>
      <c r="R144" s="976"/>
      <c r="S144" s="976"/>
      <c r="T144" s="976"/>
      <c r="U144" s="977"/>
      <c r="V144" s="975" t="s">
        <v>135</v>
      </c>
      <c r="W144" s="976"/>
      <c r="X144" s="976"/>
      <c r="Y144" s="976"/>
      <c r="Z144" s="976"/>
      <c r="AA144" s="976"/>
      <c r="AB144" s="976"/>
      <c r="AC144" s="976"/>
      <c r="AD144" s="976"/>
      <c r="AE144" s="977"/>
      <c r="AF144" s="975" t="s">
        <v>4</v>
      </c>
      <c r="AG144" s="976"/>
      <c r="AH144" s="976"/>
      <c r="AI144" s="976"/>
      <c r="AJ144" s="976"/>
      <c r="AK144" s="976"/>
      <c r="AL144" s="976"/>
      <c r="AM144" s="976"/>
      <c r="AN144" s="976"/>
      <c r="AO144" s="977"/>
      <c r="AP144" s="975" t="s">
        <v>5</v>
      </c>
      <c r="AQ144" s="976"/>
      <c r="AR144" s="976"/>
      <c r="AS144" s="976"/>
      <c r="AT144" s="976"/>
      <c r="AU144" s="976"/>
      <c r="AV144" s="976"/>
      <c r="AW144" s="976"/>
      <c r="AX144" s="976"/>
      <c r="AY144" s="977"/>
      <c r="BJ144" s="2191"/>
      <c r="BK144" s="2190"/>
    </row>
    <row r="145" spans="1:63" ht="33.75" customHeight="1" x14ac:dyDescent="0.25">
      <c r="A145" s="1161" t="s">
        <v>183</v>
      </c>
      <c r="B145" s="805"/>
      <c r="C145" s="806"/>
      <c r="D145" s="171"/>
      <c r="E145" s="806"/>
      <c r="F145" s="587"/>
      <c r="G145" s="806"/>
      <c r="H145" s="69"/>
      <c r="I145" s="806"/>
      <c r="J145" s="812"/>
      <c r="K145" s="802"/>
      <c r="L145" s="587"/>
      <c r="M145" s="806"/>
      <c r="N145" s="587"/>
      <c r="O145" s="806"/>
      <c r="P145" s="587"/>
      <c r="Q145" s="806"/>
      <c r="R145" s="241"/>
      <c r="S145" s="810"/>
      <c r="T145" s="457"/>
      <c r="U145" s="1928"/>
      <c r="V145" s="224"/>
      <c r="W145" s="1909"/>
      <c r="X145" s="587"/>
      <c r="Y145" s="806"/>
      <c r="AB145" s="69"/>
      <c r="AC145" s="806"/>
      <c r="AD145" s="813"/>
      <c r="AE145" s="811"/>
      <c r="AF145" s="805"/>
      <c r="AG145" s="806"/>
      <c r="AH145" s="587"/>
      <c r="AI145" s="806"/>
      <c r="AJ145" s="587"/>
      <c r="AK145" s="806"/>
      <c r="AL145" s="819" t="s">
        <v>570</v>
      </c>
      <c r="AM145" s="1912" t="s">
        <v>160</v>
      </c>
      <c r="AN145" s="587"/>
      <c r="AO145" s="664"/>
      <c r="AP145" s="587"/>
      <c r="AQ145" s="806"/>
      <c r="AR145" s="69"/>
      <c r="AS145" s="806"/>
      <c r="AT145" s="69"/>
      <c r="AU145" s="806"/>
      <c r="AV145" s="587"/>
      <c r="AW145" s="806"/>
      <c r="AX145" s="813"/>
      <c r="AY145" s="811"/>
      <c r="AZ145" s="33"/>
      <c r="BA145" s="1963"/>
      <c r="BB145" s="1955"/>
      <c r="BJ145" s="2191"/>
      <c r="BK145" s="2190"/>
    </row>
    <row r="146" spans="1:63" ht="33.75" customHeight="1" x14ac:dyDescent="0.25">
      <c r="A146" s="1161"/>
      <c r="B146" s="805"/>
      <c r="C146" s="806"/>
      <c r="D146" s="587"/>
      <c r="E146" s="806"/>
      <c r="F146" s="587"/>
      <c r="G146" s="806"/>
      <c r="H146" s="587"/>
      <c r="I146" s="806"/>
      <c r="J146" s="812"/>
      <c r="K146" s="802"/>
      <c r="L146" s="587"/>
      <c r="M146" s="806"/>
      <c r="N146" s="587"/>
      <c r="O146" s="806"/>
      <c r="P146" s="587"/>
      <c r="Q146" s="806"/>
      <c r="R146" s="241"/>
      <c r="S146" s="810"/>
      <c r="T146" s="1806"/>
      <c r="U146" s="1929"/>
      <c r="V146" s="1933"/>
      <c r="W146" s="1910"/>
      <c r="X146" s="587"/>
      <c r="Y146" s="806"/>
      <c r="AB146" s="69"/>
      <c r="AC146" s="806"/>
      <c r="AD146" s="813"/>
      <c r="AE146" s="807"/>
      <c r="AF146" s="587"/>
      <c r="AG146" s="806"/>
      <c r="AH146" s="587"/>
      <c r="AI146" s="806"/>
      <c r="AJ146" s="587"/>
      <c r="AK146" s="806"/>
      <c r="AL146" s="1289" t="s">
        <v>975</v>
      </c>
      <c r="AM146" s="1791"/>
      <c r="AN146" s="587"/>
      <c r="AO146" s="806"/>
      <c r="AP146" s="805"/>
      <c r="AQ146" s="806"/>
      <c r="AR146" s="69"/>
      <c r="AS146" s="806"/>
      <c r="AT146" s="69"/>
      <c r="AU146" s="806"/>
      <c r="AV146" s="587"/>
      <c r="AW146" s="806"/>
      <c r="AX146" s="813"/>
      <c r="AY146" s="807"/>
      <c r="BA146" s="1963"/>
      <c r="BB146" s="1955"/>
      <c r="BJ146" s="2191"/>
      <c r="BK146" s="2190"/>
    </row>
    <row r="147" spans="1:63" ht="35.25" customHeight="1" x14ac:dyDescent="0.25">
      <c r="A147" s="1161" t="s">
        <v>182</v>
      </c>
      <c r="B147" s="805"/>
      <c r="C147" s="806"/>
      <c r="D147" s="137"/>
      <c r="E147" s="836"/>
      <c r="F147" s="587"/>
      <c r="G147" s="806"/>
      <c r="H147" s="587"/>
      <c r="I147" s="806"/>
      <c r="J147" s="812"/>
      <c r="K147" s="802"/>
      <c r="L147" s="596"/>
      <c r="M147" s="596"/>
      <c r="N147" s="596"/>
      <c r="O147" s="596"/>
      <c r="P147" s="596"/>
      <c r="Q147" s="596"/>
      <c r="R147" s="79"/>
      <c r="S147" s="79"/>
      <c r="T147" s="1806"/>
      <c r="U147" s="1929"/>
      <c r="V147" s="1933"/>
      <c r="W147" s="1910"/>
      <c r="X147" s="596"/>
      <c r="Y147" s="596"/>
      <c r="AB147" s="79"/>
      <c r="AC147" s="79"/>
      <c r="AD147" s="79"/>
      <c r="AE147" s="409"/>
      <c r="AF147" s="596"/>
      <c r="AG147" s="596"/>
      <c r="AH147" s="596"/>
      <c r="AI147" s="596"/>
      <c r="AJ147" s="596"/>
      <c r="AK147" s="596"/>
      <c r="AL147" s="1289"/>
      <c r="AM147" s="1791"/>
      <c r="AN147" s="79"/>
      <c r="AO147" s="409"/>
      <c r="AP147" s="596"/>
      <c r="AQ147" s="596"/>
      <c r="AR147" s="596"/>
      <c r="AS147" s="596"/>
      <c r="AT147" s="596"/>
      <c r="AU147" s="596"/>
      <c r="AV147" s="79"/>
      <c r="AW147" s="79"/>
      <c r="AX147" s="79"/>
      <c r="AY147" s="409"/>
      <c r="BJ147" s="2191"/>
      <c r="BK147" s="2190"/>
    </row>
    <row r="148" spans="1:63" ht="40.5" customHeight="1" thickBot="1" x14ac:dyDescent="0.3">
      <c r="A148" s="1161"/>
      <c r="B148" s="805"/>
      <c r="C148" s="806"/>
      <c r="D148" s="589"/>
      <c r="E148" s="836"/>
      <c r="F148" s="587"/>
      <c r="G148" s="806"/>
      <c r="H148" s="587"/>
      <c r="I148" s="806"/>
      <c r="J148" s="812"/>
      <c r="K148" s="802"/>
      <c r="L148" s="596"/>
      <c r="M148" s="596"/>
      <c r="N148" s="596"/>
      <c r="O148" s="596"/>
      <c r="P148" s="596"/>
      <c r="Q148" s="596"/>
      <c r="R148" s="79"/>
      <c r="S148" s="79"/>
      <c r="T148" s="1901"/>
      <c r="U148" s="1930"/>
      <c r="V148" s="1933"/>
      <c r="W148" s="1911"/>
      <c r="X148" s="596"/>
      <c r="Y148" s="596"/>
      <c r="AA148" s="102"/>
      <c r="AB148" s="79"/>
      <c r="AC148" s="79"/>
      <c r="AD148" s="79"/>
      <c r="AE148" s="409"/>
      <c r="AF148" s="596"/>
      <c r="AG148" s="596"/>
      <c r="AH148" s="596"/>
      <c r="AI148" s="596"/>
      <c r="AJ148" s="596"/>
      <c r="AK148" s="596"/>
      <c r="AL148" s="1289"/>
      <c r="AM148" s="1913"/>
      <c r="AN148" s="79"/>
      <c r="AO148" s="409"/>
      <c r="AP148" s="837"/>
      <c r="AQ148" s="596"/>
      <c r="AR148" s="596"/>
      <c r="AS148" s="596"/>
      <c r="AT148" s="596"/>
      <c r="AU148" s="671"/>
      <c r="AV148" s="79"/>
      <c r="AW148" s="79"/>
      <c r="AX148" s="79"/>
      <c r="AY148" s="409"/>
      <c r="BJ148" s="2191"/>
      <c r="BK148" s="2190"/>
    </row>
    <row r="149" spans="1:63" ht="18.75" customHeight="1" thickBot="1" x14ac:dyDescent="0.3">
      <c r="A149" s="1158" t="s">
        <v>214</v>
      </c>
      <c r="B149" s="1159"/>
      <c r="C149" s="1787" t="s">
        <v>215</v>
      </c>
      <c r="D149" s="1788"/>
      <c r="E149" s="1788"/>
      <c r="F149" s="1788"/>
      <c r="G149" s="1788"/>
      <c r="H149" s="1788"/>
      <c r="I149" s="1788"/>
      <c r="J149" s="1788"/>
      <c r="K149" s="1788"/>
      <c r="L149" s="1788"/>
      <c r="M149" s="1788"/>
      <c r="N149" s="1789"/>
      <c r="O149" s="1787" t="s">
        <v>296</v>
      </c>
      <c r="P149" s="1788"/>
      <c r="Q149" s="1788"/>
      <c r="R149" s="1789"/>
      <c r="S149" s="1787" t="s">
        <v>139</v>
      </c>
      <c r="T149" s="1789"/>
      <c r="U149" s="1787" t="s">
        <v>163</v>
      </c>
      <c r="V149" s="1788"/>
      <c r="W149" s="1788"/>
      <c r="X149" s="1788"/>
      <c r="Y149" s="1788"/>
      <c r="Z149" s="1788"/>
      <c r="AA149" s="1788"/>
      <c r="AB149" s="1788"/>
      <c r="AC149" s="1788"/>
      <c r="AD149" s="1788"/>
      <c r="AE149" s="1788"/>
      <c r="AF149" s="1788"/>
      <c r="AG149" s="1788"/>
      <c r="AH149" s="1788"/>
      <c r="AI149" s="1788"/>
      <c r="AJ149" s="1788"/>
      <c r="AK149" s="1788"/>
      <c r="AL149" s="1788"/>
      <c r="AM149" s="1788"/>
      <c r="AN149" s="1788"/>
      <c r="AO149" s="1789"/>
      <c r="AQ149" s="2071" t="s">
        <v>1012</v>
      </c>
      <c r="AR149" s="1964"/>
      <c r="AS149" s="1964"/>
      <c r="AT149" s="1965"/>
      <c r="AV149" s="1872"/>
      <c r="AW149" s="1872"/>
      <c r="AX149" s="1872"/>
      <c r="AY149" s="1872"/>
    </row>
    <row r="150" spans="1:63" ht="15" customHeight="1" x14ac:dyDescent="0.25">
      <c r="A150" s="1800" t="str">
        <f>VLOOKUP(O150,ASIGNATURAS!$F$1:$L$1022, 3, FALSE)</f>
        <v>PROD. Y FABR.</v>
      </c>
      <c r="B150" s="1801"/>
      <c r="C150" s="1902" t="str">
        <f>VLOOKUP(O150,ASIGNATURAS!$F$1:$L$1022, 4, FALSE)</f>
        <v>Sistemas de Producción y Fabricación</v>
      </c>
      <c r="D150" s="1858"/>
      <c r="E150" s="1858"/>
      <c r="F150" s="1858"/>
      <c r="G150" s="1858"/>
      <c r="H150" s="1858"/>
      <c r="I150" s="1858"/>
      <c r="J150" s="1858"/>
      <c r="K150" s="1858"/>
      <c r="L150" s="1858"/>
      <c r="M150" s="1858"/>
      <c r="N150" s="1903"/>
      <c r="O150" s="1917">
        <v>6322</v>
      </c>
      <c r="P150" s="1932"/>
      <c r="Q150" s="1932"/>
      <c r="R150" s="1918"/>
      <c r="S150" s="1917">
        <f>VLOOKUP(O150,ASIGNATURAS!$F$1:$L$1022, 5, FALSE)</f>
        <v>6</v>
      </c>
      <c r="T150" s="1918"/>
      <c r="U150" s="1857" t="str">
        <f>VLOOKUP(O150,ASIGNATURAS!$F$1:$L$1022, 6, FALSE)</f>
        <v>Miguel Angel Mariscal, Miriam Lorenzo , Juan Marcos de las Heras</v>
      </c>
      <c r="V150" s="1858"/>
      <c r="W150" s="1858"/>
      <c r="X150" s="1858"/>
      <c r="Y150" s="1858"/>
      <c r="Z150" s="1858"/>
      <c r="AA150" s="1858"/>
      <c r="AB150" s="1858"/>
      <c r="AC150" s="1858"/>
      <c r="AD150" s="1858"/>
      <c r="AE150" s="1858"/>
      <c r="AF150" s="1858"/>
      <c r="AG150" s="1858"/>
      <c r="AH150" s="1858"/>
      <c r="AI150" s="1858"/>
      <c r="AJ150" s="1858"/>
      <c r="AK150" s="1858"/>
      <c r="AL150" s="1858"/>
      <c r="AM150" s="1858"/>
      <c r="AN150" s="1858"/>
      <c r="AO150" s="1859"/>
      <c r="AQ150" s="951"/>
      <c r="AR150" s="952"/>
      <c r="AS150" s="952"/>
      <c r="AT150" s="953"/>
      <c r="AV150" s="1873"/>
      <c r="AW150" s="1873"/>
      <c r="AX150" s="1873"/>
      <c r="AY150" s="1873"/>
    </row>
    <row r="151" spans="1:63" ht="15" customHeight="1" x14ac:dyDescent="0.25">
      <c r="A151" s="1800" t="str">
        <f>VLOOKUP(O151,ASIGNATURAS!$F$1:$L$1022, 3, FALSE)</f>
        <v>I. MATERIALES</v>
      </c>
      <c r="B151" s="1801"/>
      <c r="C151" s="1894" t="str">
        <f>VLOOKUP(O151,ASIGNATURAS!$F$1:$L$1022, 4, FALSE)</f>
        <v>Ingeniería de Materiales</v>
      </c>
      <c r="D151" s="1771"/>
      <c r="E151" s="1771"/>
      <c r="F151" s="1771"/>
      <c r="G151" s="1771"/>
      <c r="H151" s="1771"/>
      <c r="I151" s="1771"/>
      <c r="J151" s="1771"/>
      <c r="K151" s="1771"/>
      <c r="L151" s="1771"/>
      <c r="M151" s="1771"/>
      <c r="N151" s="1895"/>
      <c r="O151" s="1875">
        <v>6323</v>
      </c>
      <c r="P151" s="1914"/>
      <c r="Q151" s="1914"/>
      <c r="R151" s="1876"/>
      <c r="S151" s="1875">
        <f>VLOOKUP(O151,ASIGNATURAS!$F$1:$L$1022, 5, FALSE)</f>
        <v>6</v>
      </c>
      <c r="T151" s="1876"/>
      <c r="U151" s="1770" t="str">
        <f>VLOOKUP(O151,ASIGNATURAS!$F$1:$L$1022, 6, FALSE)</f>
        <v>Mónica Preciado, David Cárdenas, Jose Calaf</v>
      </c>
      <c r="V151" s="1771"/>
      <c r="W151" s="1771"/>
      <c r="X151" s="1771"/>
      <c r="Y151" s="1771"/>
      <c r="Z151" s="1771"/>
      <c r="AA151" s="1771"/>
      <c r="AB151" s="1771"/>
      <c r="AC151" s="1771"/>
      <c r="AD151" s="1771"/>
      <c r="AE151" s="1771"/>
      <c r="AF151" s="1771"/>
      <c r="AG151" s="1771"/>
      <c r="AH151" s="1771"/>
      <c r="AI151" s="1771"/>
      <c r="AJ151" s="1771"/>
      <c r="AK151" s="1771"/>
      <c r="AL151" s="1771"/>
      <c r="AM151" s="1771"/>
      <c r="AN151" s="1771"/>
      <c r="AO151" s="1772"/>
      <c r="AQ151" s="1883" t="s">
        <v>1008</v>
      </c>
      <c r="AR151" s="1884"/>
      <c r="AS151" s="1884"/>
      <c r="AT151" s="1885"/>
      <c r="AV151" s="2070"/>
      <c r="AW151" s="2070"/>
      <c r="AX151" s="2070"/>
      <c r="AY151" s="2070"/>
    </row>
    <row r="152" spans="1:63" ht="15" customHeight="1" x14ac:dyDescent="0.25">
      <c r="A152" s="1848" t="str">
        <f>VLOOKUP(O152,ASIGNATURAS!$F$1:$L$1022, 3, FALSE)</f>
        <v>RESISTENCIA II</v>
      </c>
      <c r="B152" s="1849"/>
      <c r="C152" s="1795" t="str">
        <f>VLOOKUP(O152,ASIGNATURAS!$F$1:$L$1022, 4, FALSE)</f>
        <v>Resistencia de Materiales II</v>
      </c>
      <c r="D152" s="1795"/>
      <c r="E152" s="1795"/>
      <c r="F152" s="1795"/>
      <c r="G152" s="1795"/>
      <c r="H152" s="1795"/>
      <c r="I152" s="1795"/>
      <c r="J152" s="1795"/>
      <c r="K152" s="1795"/>
      <c r="L152" s="1795"/>
      <c r="M152" s="1795"/>
      <c r="N152" s="1795"/>
      <c r="O152" s="1765">
        <v>6324</v>
      </c>
      <c r="P152" s="1765"/>
      <c r="Q152" s="1765"/>
      <c r="R152" s="1765"/>
      <c r="S152" s="1765">
        <f>VLOOKUP(O152,ASIGNATURAS!$F$1:$L$1022, 5, FALSE)</f>
        <v>6</v>
      </c>
      <c r="T152" s="1765"/>
      <c r="U152" s="1770" t="str">
        <f>VLOOKUP(O152,ASIGNATURAS!$F$1:$L$1022, 6, FALSE)</f>
        <v>Jesús Manuel Alegre, Wilco Verbeeten, Andrés Díaz</v>
      </c>
      <c r="V152" s="1771"/>
      <c r="W152" s="1771"/>
      <c r="X152" s="1771"/>
      <c r="Y152" s="1771"/>
      <c r="Z152" s="1771"/>
      <c r="AA152" s="1771"/>
      <c r="AB152" s="1771"/>
      <c r="AC152" s="1771"/>
      <c r="AD152" s="1771"/>
      <c r="AE152" s="1771"/>
      <c r="AF152" s="1771"/>
      <c r="AG152" s="1771"/>
      <c r="AH152" s="1771"/>
      <c r="AI152" s="1771"/>
      <c r="AJ152" s="1771"/>
      <c r="AK152" s="1771"/>
      <c r="AL152" s="1771"/>
      <c r="AM152" s="1771"/>
      <c r="AN152" s="1771"/>
      <c r="AO152" s="1772"/>
      <c r="AQ152" s="1779" t="s">
        <v>569</v>
      </c>
      <c r="AR152" s="1780"/>
      <c r="AS152" s="1780"/>
      <c r="AT152" s="1781"/>
      <c r="AV152" s="1874"/>
      <c r="AW152" s="1874"/>
      <c r="AX152" s="1874"/>
      <c r="AY152" s="1874"/>
    </row>
    <row r="153" spans="1:63" ht="15" customHeight="1" x14ac:dyDescent="0.25">
      <c r="A153" s="1848" t="str">
        <f>VLOOKUP(O153,ASIGNATURAS!$F$1:$L$1022, 3, FALSE)</f>
        <v>ING. GRAFICA</v>
      </c>
      <c r="B153" s="1849"/>
      <c r="C153" s="1795" t="str">
        <f>VLOOKUP(O153,ASIGNATURAS!$F$1:$L$1022, 4, FALSE)</f>
        <v>Ingeniería Gráfica</v>
      </c>
      <c r="D153" s="1795"/>
      <c r="E153" s="1795"/>
      <c r="F153" s="1795"/>
      <c r="G153" s="1795"/>
      <c r="H153" s="1795"/>
      <c r="I153" s="1795"/>
      <c r="J153" s="1795"/>
      <c r="K153" s="1795"/>
      <c r="L153" s="1795"/>
      <c r="M153" s="1795"/>
      <c r="N153" s="1795"/>
      <c r="O153" s="1765">
        <v>6325</v>
      </c>
      <c r="P153" s="1765"/>
      <c r="Q153" s="1765"/>
      <c r="R153" s="1765"/>
      <c r="S153" s="1765">
        <f>VLOOKUP(O153,ASIGNATURAS!$F$1:$L$1022, 5, FALSE)</f>
        <v>6</v>
      </c>
      <c r="T153" s="1765"/>
      <c r="U153" s="1770" t="str">
        <f>VLOOKUP(O153,ASIGNATURAS!$F$1:$L$1022, 6, FALSE)</f>
        <v>Elías Martínez</v>
      </c>
      <c r="V153" s="1771"/>
      <c r="W153" s="1771"/>
      <c r="X153" s="1771"/>
      <c r="Y153" s="1771"/>
      <c r="Z153" s="1771"/>
      <c r="AA153" s="1771"/>
      <c r="AB153" s="1771"/>
      <c r="AC153" s="1771"/>
      <c r="AD153" s="1771"/>
      <c r="AE153" s="1771"/>
      <c r="AF153" s="1771"/>
      <c r="AG153" s="1771"/>
      <c r="AH153" s="1771"/>
      <c r="AI153" s="1771"/>
      <c r="AJ153" s="1771"/>
      <c r="AK153" s="1771"/>
      <c r="AL153" s="1771"/>
      <c r="AM153" s="1771"/>
      <c r="AN153" s="1771"/>
      <c r="AO153" s="1772"/>
      <c r="AQ153" s="1779" t="s">
        <v>570</v>
      </c>
      <c r="AR153" s="1780"/>
      <c r="AS153" s="1780"/>
      <c r="AT153" s="1781"/>
      <c r="AV153" s="1874"/>
      <c r="AW153" s="1874"/>
      <c r="AX153" s="1874"/>
      <c r="AY153" s="1874"/>
    </row>
    <row r="154" spans="1:63" ht="15.75" customHeight="1" thickBot="1" x14ac:dyDescent="0.3">
      <c r="A154" s="1782" t="str">
        <f>VLOOKUP(O154,ASIGNATURAS!$F$1:$L$1022, 3, FALSE)</f>
        <v>MECANISMOS II</v>
      </c>
      <c r="B154" s="1783"/>
      <c r="C154" s="1831" t="str">
        <f>VLOOKUP(O154,ASIGNATURAS!$F$1:$L$1022, 4, FALSE)</f>
        <v>Mecanismos II</v>
      </c>
      <c r="D154" s="1831"/>
      <c r="E154" s="1831"/>
      <c r="F154" s="1831"/>
      <c r="G154" s="1831"/>
      <c r="H154" s="1831"/>
      <c r="I154" s="1831"/>
      <c r="J154" s="1831"/>
      <c r="K154" s="1831"/>
      <c r="L154" s="1831"/>
      <c r="M154" s="1831"/>
      <c r="N154" s="1831"/>
      <c r="O154" s="1766">
        <v>6326</v>
      </c>
      <c r="P154" s="1766"/>
      <c r="Q154" s="1766"/>
      <c r="R154" s="1766"/>
      <c r="S154" s="1766">
        <f>VLOOKUP(O154,ASIGNATURAS!$F$1:$L$1022, 5, FALSE)</f>
        <v>6</v>
      </c>
      <c r="T154" s="1766"/>
      <c r="U154" s="1833" t="str">
        <f>VLOOKUP(O154,ASIGNATURAS!$F$1:$L$1022, 6, FALSE)</f>
        <v>Eduardo Pérez Colina</v>
      </c>
      <c r="V154" s="1834"/>
      <c r="W154" s="1834"/>
      <c r="X154" s="1834"/>
      <c r="Y154" s="1834"/>
      <c r="Z154" s="1834"/>
      <c r="AA154" s="1834"/>
      <c r="AB154" s="1834"/>
      <c r="AC154" s="1834"/>
      <c r="AD154" s="1834"/>
      <c r="AE154" s="1834"/>
      <c r="AF154" s="1834"/>
      <c r="AG154" s="1834"/>
      <c r="AH154" s="1834"/>
      <c r="AI154" s="1834"/>
      <c r="AJ154" s="1834"/>
      <c r="AK154" s="1834"/>
      <c r="AL154" s="1834"/>
      <c r="AM154" s="1834"/>
      <c r="AN154" s="1834"/>
      <c r="AO154" s="1835"/>
      <c r="AQ154" s="1906" t="s">
        <v>571</v>
      </c>
      <c r="AR154" s="1907"/>
      <c r="AS154" s="1907"/>
      <c r="AT154" s="1908"/>
      <c r="AV154" s="1170"/>
      <c r="AW154" s="1170"/>
      <c r="AX154" s="1170"/>
      <c r="AY154" s="1170"/>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1135" t="str">
        <f>VLOOKUP(A161,ASIGNATURAS!$A$2:$D$151, 3, FALSE)</f>
        <v>3º Grado en Ingeniería Mecánica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6"/>
      <c r="Z158" s="1136"/>
      <c r="AA158" s="1136"/>
      <c r="AB158" s="1136"/>
      <c r="AC158" s="1136"/>
      <c r="AD158" s="1136"/>
      <c r="AE158" s="1136"/>
      <c r="AF158" s="1136"/>
      <c r="AG158" s="1136"/>
      <c r="AH158" s="1136"/>
      <c r="AI158" s="1136"/>
      <c r="AJ158" s="1136"/>
      <c r="AK158" s="1136"/>
      <c r="AL158" s="1136"/>
      <c r="AM158" s="1136"/>
      <c r="AN158" s="1136"/>
      <c r="AO158" s="1137"/>
      <c r="AP158" s="975" t="str">
        <f>Aulas!G5</f>
        <v>Curso 2024-2025</v>
      </c>
      <c r="AQ158" s="976"/>
      <c r="AR158" s="976"/>
      <c r="AS158" s="976"/>
      <c r="AT158" s="976"/>
      <c r="AU158" s="976"/>
      <c r="AV158" s="976"/>
      <c r="AW158" s="976"/>
      <c r="AX158" s="976"/>
      <c r="AY158" s="977"/>
      <c r="BA158"/>
      <c r="BB158"/>
      <c r="BC158"/>
      <c r="BD158"/>
      <c r="BE158"/>
      <c r="BF158"/>
      <c r="BG158"/>
      <c r="BH158"/>
      <c r="BI158"/>
    </row>
    <row r="159" spans="1:63"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3"/>
      <c r="Z159" s="1133"/>
      <c r="AA159" s="1133"/>
      <c r="AB159" s="1133"/>
      <c r="AC159" s="1133"/>
      <c r="AD159" s="1133"/>
      <c r="AE159" s="1133"/>
      <c r="AF159" s="1133"/>
      <c r="AG159" s="1133"/>
      <c r="AH159" s="1133"/>
      <c r="AI159" s="1133"/>
      <c r="AJ159" s="1133"/>
      <c r="AK159" s="1133"/>
      <c r="AL159" s="1133"/>
      <c r="AM159" s="1133"/>
      <c r="AN159" s="1133"/>
      <c r="AO159" s="1134"/>
      <c r="AP159" s="1798" t="s">
        <v>148</v>
      </c>
      <c r="AQ159" s="1013"/>
      <c r="AR159" s="1013"/>
      <c r="AS159" s="1013"/>
      <c r="AT159" s="1013"/>
      <c r="AU159" s="1013"/>
      <c r="AV159" s="1013"/>
      <c r="AW159" s="1013"/>
      <c r="AX159" s="1013"/>
      <c r="AY159" s="1014"/>
      <c r="BA159"/>
      <c r="BB159"/>
      <c r="BC159"/>
      <c r="BD159"/>
      <c r="BE159"/>
      <c r="BF159"/>
      <c r="BG159"/>
      <c r="BH159"/>
      <c r="BI159"/>
    </row>
    <row r="160" spans="1:63"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c r="AA160" s="1133"/>
      <c r="AB160" s="1133"/>
      <c r="AC160" s="1133"/>
      <c r="AD160" s="1133"/>
      <c r="AE160" s="1133"/>
      <c r="AF160" s="1133"/>
      <c r="AG160" s="1133"/>
      <c r="AH160" s="1133"/>
      <c r="AI160" s="1133"/>
      <c r="AJ160" s="1133"/>
      <c r="AK160" s="1133"/>
      <c r="AL160" s="1133"/>
      <c r="AM160" s="1133"/>
      <c r="AN160" s="1133"/>
      <c r="AO160" s="1134"/>
      <c r="AP160" s="1799"/>
      <c r="AQ160" s="1015"/>
      <c r="AR160" s="1015"/>
      <c r="AS160" s="1015"/>
      <c r="AT160" s="1015"/>
      <c r="AU160" s="1015"/>
      <c r="AV160" s="1015"/>
      <c r="AW160" s="1015"/>
      <c r="AX160" s="1015"/>
      <c r="AY160" s="1016"/>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75" t="s">
        <v>2</v>
      </c>
      <c r="C162" s="976"/>
      <c r="D162" s="976"/>
      <c r="E162" s="976"/>
      <c r="F162" s="976"/>
      <c r="G162" s="976"/>
      <c r="H162" s="976"/>
      <c r="I162" s="976"/>
      <c r="J162" s="976"/>
      <c r="K162" s="977"/>
      <c r="L162" s="975" t="s">
        <v>3</v>
      </c>
      <c r="M162" s="976"/>
      <c r="N162" s="976"/>
      <c r="O162" s="976"/>
      <c r="P162" s="976"/>
      <c r="Q162" s="976"/>
      <c r="R162" s="976"/>
      <c r="S162" s="976"/>
      <c r="T162" s="976"/>
      <c r="U162" s="977"/>
      <c r="V162" s="975" t="s">
        <v>135</v>
      </c>
      <c r="W162" s="976"/>
      <c r="X162" s="976"/>
      <c r="Y162" s="976"/>
      <c r="Z162" s="976"/>
      <c r="AA162" s="976"/>
      <c r="AB162" s="976"/>
      <c r="AC162" s="976"/>
      <c r="AD162" s="976"/>
      <c r="AE162" s="977"/>
      <c r="AF162" s="975" t="s">
        <v>4</v>
      </c>
      <c r="AG162" s="976"/>
      <c r="AH162" s="976"/>
      <c r="AI162" s="976"/>
      <c r="AJ162" s="976"/>
      <c r="AK162" s="976"/>
      <c r="AL162" s="976"/>
      <c r="AM162" s="976"/>
      <c r="AN162" s="976"/>
      <c r="AO162" s="977"/>
      <c r="AP162" s="975" t="s">
        <v>5</v>
      </c>
      <c r="AQ162" s="976"/>
      <c r="AR162" s="976"/>
      <c r="AS162" s="976"/>
      <c r="AT162" s="976"/>
      <c r="AU162" s="976"/>
      <c r="AV162" s="976"/>
      <c r="AW162" s="976"/>
      <c r="AX162" s="976"/>
      <c r="AY162" s="977"/>
      <c r="BA162"/>
      <c r="BB162"/>
      <c r="BC162"/>
      <c r="BD162"/>
      <c r="BE162"/>
      <c r="BF162"/>
      <c r="BG162"/>
      <c r="BH162"/>
      <c r="BI162"/>
    </row>
    <row r="163" spans="1:61" ht="41.25" customHeight="1" x14ac:dyDescent="0.25">
      <c r="A163" s="1160" t="s">
        <v>10</v>
      </c>
      <c r="B163" s="482" t="s">
        <v>569</v>
      </c>
      <c r="C163" s="1790" t="s">
        <v>157</v>
      </c>
      <c r="D163" s="227" t="s">
        <v>570</v>
      </c>
      <c r="E163" s="1791" t="s">
        <v>156</v>
      </c>
      <c r="F163" s="589"/>
      <c r="G163" s="1793"/>
      <c r="H163" s="168"/>
      <c r="I163" s="1793"/>
      <c r="J163" s="20"/>
      <c r="K163" s="20"/>
      <c r="L163" s="482" t="s">
        <v>569</v>
      </c>
      <c r="M163" s="1791" t="s">
        <v>476</v>
      </c>
      <c r="N163" s="227" t="s">
        <v>570</v>
      </c>
      <c r="O163" s="1791" t="s">
        <v>1277</v>
      </c>
      <c r="P163" s="589"/>
      <c r="Q163" s="1793"/>
      <c r="R163" s="20"/>
      <c r="S163" s="20"/>
      <c r="T163" s="20"/>
      <c r="U163" s="20"/>
      <c r="V163" s="482" t="s">
        <v>569</v>
      </c>
      <c r="W163" s="1791" t="s">
        <v>1282</v>
      </c>
      <c r="X163" s="227" t="s">
        <v>570</v>
      </c>
      <c r="Y163" s="1791" t="s">
        <v>476</v>
      </c>
      <c r="Z163" s="20"/>
      <c r="AA163" s="20"/>
      <c r="AB163" s="496"/>
      <c r="AC163" s="20"/>
      <c r="AD163" s="20"/>
      <c r="AE163" s="20"/>
      <c r="AF163" s="482" t="s">
        <v>569</v>
      </c>
      <c r="AG163" s="1832" t="s">
        <v>152</v>
      </c>
      <c r="AH163" s="227" t="s">
        <v>570</v>
      </c>
      <c r="AI163" s="1790" t="s">
        <v>157</v>
      </c>
      <c r="AJ163" s="168"/>
      <c r="AK163" s="1792"/>
      <c r="AL163" s="168"/>
      <c r="AM163" s="1793"/>
      <c r="AN163" s="20"/>
      <c r="AO163" s="200"/>
      <c r="AP163" s="139" t="s">
        <v>569</v>
      </c>
      <c r="AQ163" s="1790" t="s">
        <v>157</v>
      </c>
      <c r="AR163" s="140" t="s">
        <v>570</v>
      </c>
      <c r="AS163" s="1790" t="s">
        <v>152</v>
      </c>
      <c r="AT163" s="212"/>
      <c r="AU163" s="1792"/>
      <c r="AV163" s="212"/>
      <c r="AW163" s="1792"/>
      <c r="AX163" s="496"/>
      <c r="AY163" s="497"/>
    </row>
    <row r="164" spans="1:61" ht="41.25" customHeight="1" x14ac:dyDescent="0.25">
      <c r="A164" s="1161"/>
      <c r="B164" s="1796" t="s">
        <v>37</v>
      </c>
      <c r="C164" s="1791"/>
      <c r="D164" s="1797" t="s">
        <v>39</v>
      </c>
      <c r="E164" s="1791"/>
      <c r="F164" s="1814"/>
      <c r="G164" s="1793"/>
      <c r="H164" s="1794"/>
      <c r="I164" s="1793"/>
      <c r="J164" s="20"/>
      <c r="K164" s="20"/>
      <c r="L164" s="1796" t="s">
        <v>40</v>
      </c>
      <c r="M164" s="1791"/>
      <c r="N164" s="1797" t="s">
        <v>38</v>
      </c>
      <c r="O164" s="1791"/>
      <c r="P164" s="1814"/>
      <c r="Q164" s="1793"/>
      <c r="R164" s="20"/>
      <c r="S164" s="20"/>
      <c r="T164" s="20"/>
      <c r="U164" s="20"/>
      <c r="V164" s="1796" t="s">
        <v>38</v>
      </c>
      <c r="W164" s="1791"/>
      <c r="X164" s="1797" t="s">
        <v>40</v>
      </c>
      <c r="Y164" s="1791"/>
      <c r="Z164" s="20"/>
      <c r="AA164" s="20"/>
      <c r="AB164" s="20"/>
      <c r="AC164" s="20"/>
      <c r="AD164" s="20"/>
      <c r="AE164" s="20"/>
      <c r="AF164" s="1796" t="s">
        <v>48</v>
      </c>
      <c r="AG164" s="1832"/>
      <c r="AH164" s="1797" t="s">
        <v>37</v>
      </c>
      <c r="AI164" s="1791"/>
      <c r="AJ164" s="1814"/>
      <c r="AK164" s="1793"/>
      <c r="AL164" s="1794"/>
      <c r="AM164" s="1793"/>
      <c r="AN164" s="20"/>
      <c r="AO164" s="200"/>
      <c r="AP164" s="1796" t="s">
        <v>39</v>
      </c>
      <c r="AQ164" s="1791"/>
      <c r="AR164" s="1797" t="s">
        <v>48</v>
      </c>
      <c r="AS164" s="1791"/>
      <c r="AT164" s="1794"/>
      <c r="AU164" s="1793"/>
      <c r="AV164" s="1794"/>
      <c r="AW164" s="1793"/>
      <c r="AX164" s="20"/>
      <c r="AY164" s="200"/>
    </row>
    <row r="165" spans="1:61" ht="41.25" customHeight="1" x14ac:dyDescent="0.25">
      <c r="A165" s="1161" t="s">
        <v>11</v>
      </c>
      <c r="B165" s="1796"/>
      <c r="C165" s="1791"/>
      <c r="D165" s="1797"/>
      <c r="E165" s="1791"/>
      <c r="F165" s="1814"/>
      <c r="G165" s="1793"/>
      <c r="H165" s="1794"/>
      <c r="I165" s="1793"/>
      <c r="J165" s="20"/>
      <c r="K165" s="20"/>
      <c r="L165" s="1796"/>
      <c r="M165" s="1791"/>
      <c r="N165" s="1797"/>
      <c r="O165" s="1791"/>
      <c r="P165" s="1814"/>
      <c r="Q165" s="1793"/>
      <c r="R165" s="20"/>
      <c r="S165" s="20"/>
      <c r="T165" s="20"/>
      <c r="U165" s="20"/>
      <c r="V165" s="1796"/>
      <c r="W165" s="1791"/>
      <c r="X165" s="1797"/>
      <c r="Y165" s="1791"/>
      <c r="Z165" s="20"/>
      <c r="AA165" s="20"/>
      <c r="AB165" s="20"/>
      <c r="AC165" s="20"/>
      <c r="AD165" s="20"/>
      <c r="AE165" s="20"/>
      <c r="AF165" s="1796"/>
      <c r="AG165" s="1832"/>
      <c r="AH165" s="1797"/>
      <c r="AI165" s="1791"/>
      <c r="AJ165" s="1814"/>
      <c r="AK165" s="1793"/>
      <c r="AL165" s="1794"/>
      <c r="AM165" s="1793"/>
      <c r="AN165" s="20"/>
      <c r="AO165" s="200"/>
      <c r="AP165" s="1796"/>
      <c r="AQ165" s="1791"/>
      <c r="AR165" s="1797"/>
      <c r="AS165" s="1791"/>
      <c r="AT165" s="1794"/>
      <c r="AU165" s="1793"/>
      <c r="AV165" s="1794"/>
      <c r="AW165" s="1793"/>
      <c r="AX165" s="20"/>
      <c r="AY165" s="200"/>
    </row>
    <row r="166" spans="1:61" ht="41.25" customHeight="1" x14ac:dyDescent="0.25">
      <c r="A166" s="1161"/>
      <c r="B166" s="1796"/>
      <c r="C166" s="1791"/>
      <c r="D166" s="1797"/>
      <c r="E166" s="1791"/>
      <c r="F166" s="1814"/>
      <c r="G166" s="1793"/>
      <c r="H166" s="1794"/>
      <c r="I166" s="1793"/>
      <c r="J166" s="20"/>
      <c r="K166" s="470"/>
      <c r="L166" s="1796"/>
      <c r="M166" s="1791"/>
      <c r="N166" s="1797"/>
      <c r="O166" s="1791"/>
      <c r="P166" s="1814"/>
      <c r="Q166" s="1793"/>
      <c r="R166" s="20"/>
      <c r="S166" s="20"/>
      <c r="T166" s="20"/>
      <c r="U166" s="20"/>
      <c r="V166" s="1796"/>
      <c r="W166" s="1791"/>
      <c r="X166" s="1797"/>
      <c r="Y166" s="1791"/>
      <c r="Z166" s="20"/>
      <c r="AA166" s="20"/>
      <c r="AB166" s="20"/>
      <c r="AC166" s="20"/>
      <c r="AD166" s="20"/>
      <c r="AE166" s="470"/>
      <c r="AF166" s="1796"/>
      <c r="AG166" s="1832"/>
      <c r="AH166" s="1797"/>
      <c r="AI166" s="1791"/>
      <c r="AJ166" s="1814"/>
      <c r="AK166" s="1793"/>
      <c r="AL166" s="1794"/>
      <c r="AM166" s="1793"/>
      <c r="AN166" s="20"/>
      <c r="AO166" s="200"/>
      <c r="AP166" s="1796"/>
      <c r="AQ166" s="1791"/>
      <c r="AR166" s="1797"/>
      <c r="AS166" s="1791"/>
      <c r="AT166" s="1794"/>
      <c r="AU166" s="1793"/>
      <c r="AV166" s="1794"/>
      <c r="AW166" s="1793"/>
      <c r="AX166" s="20"/>
      <c r="AY166" s="200"/>
    </row>
    <row r="167" spans="1:61" ht="41.25" customHeight="1" x14ac:dyDescent="0.25">
      <c r="A167" s="1161" t="s">
        <v>6</v>
      </c>
      <c r="B167" s="1760" t="s">
        <v>37</v>
      </c>
      <c r="C167" s="1761"/>
      <c r="D167" s="1761"/>
      <c r="E167" s="1761"/>
      <c r="F167" s="1761"/>
      <c r="G167" s="1761"/>
      <c r="H167" s="1761"/>
      <c r="I167" s="1761"/>
      <c r="J167" s="1761"/>
      <c r="K167" s="1762"/>
      <c r="L167" s="1760" t="s">
        <v>38</v>
      </c>
      <c r="M167" s="1761"/>
      <c r="N167" s="1761"/>
      <c r="O167" s="1761"/>
      <c r="P167" s="1761"/>
      <c r="Q167" s="1761"/>
      <c r="R167" s="1761"/>
      <c r="S167" s="1761"/>
      <c r="T167" s="1761"/>
      <c r="U167" s="1762"/>
      <c r="V167" s="1760" t="s">
        <v>38</v>
      </c>
      <c r="W167" s="1761"/>
      <c r="X167" s="1761"/>
      <c r="Y167" s="1761"/>
      <c r="Z167" s="1761"/>
      <c r="AA167" s="1761"/>
      <c r="AB167" s="1761"/>
      <c r="AC167" s="1761"/>
      <c r="AD167" s="1761"/>
      <c r="AE167" s="1762"/>
      <c r="AF167" s="1760" t="s">
        <v>37</v>
      </c>
      <c r="AG167" s="1761"/>
      <c r="AH167" s="1761"/>
      <c r="AI167" s="1761"/>
      <c r="AJ167" s="1761"/>
      <c r="AK167" s="1761"/>
      <c r="AL167" s="1761"/>
      <c r="AM167" s="1761"/>
      <c r="AN167" s="1761"/>
      <c r="AO167" s="1762"/>
      <c r="AP167" s="1760" t="s">
        <v>39</v>
      </c>
      <c r="AQ167" s="1761"/>
      <c r="AR167" s="1761"/>
      <c r="AS167" s="1761"/>
      <c r="AT167" s="1761"/>
      <c r="AU167" s="1761"/>
      <c r="AV167" s="1761"/>
      <c r="AW167" s="1761"/>
      <c r="AX167" s="1761"/>
      <c r="AY167" s="1762"/>
    </row>
    <row r="168" spans="1:61" ht="41.25" customHeight="1" x14ac:dyDescent="0.25">
      <c r="A168" s="1161"/>
      <c r="B168" s="1823" t="s">
        <v>148</v>
      </c>
      <c r="C168" s="1824"/>
      <c r="D168" s="1824"/>
      <c r="E168" s="1824"/>
      <c r="F168" s="1824"/>
      <c r="G168" s="1824"/>
      <c r="H168" s="1824"/>
      <c r="I168" s="1824"/>
      <c r="J168" s="1824"/>
      <c r="K168" s="1825"/>
      <c r="L168" s="1823" t="s">
        <v>148</v>
      </c>
      <c r="M168" s="1824"/>
      <c r="N168" s="1824"/>
      <c r="O168" s="1824"/>
      <c r="P168" s="1824"/>
      <c r="Q168" s="1824"/>
      <c r="R168" s="1824"/>
      <c r="S168" s="1824"/>
      <c r="T168" s="1824"/>
      <c r="U168" s="1825"/>
      <c r="V168" s="1826" t="s">
        <v>148</v>
      </c>
      <c r="W168" s="1827"/>
      <c r="X168" s="1827"/>
      <c r="Y168" s="1827"/>
      <c r="Z168" s="1827"/>
      <c r="AA168" s="1827"/>
      <c r="AB168" s="1827"/>
      <c r="AC168" s="1827"/>
      <c r="AD168" s="1827"/>
      <c r="AE168" s="1828"/>
      <c r="AF168" s="1823" t="s">
        <v>148</v>
      </c>
      <c r="AG168" s="1824"/>
      <c r="AH168" s="1824"/>
      <c r="AI168" s="1824"/>
      <c r="AJ168" s="1824"/>
      <c r="AK168" s="1824"/>
      <c r="AL168" s="1824"/>
      <c r="AM168" s="1824"/>
      <c r="AN168" s="1824"/>
      <c r="AO168" s="1825"/>
      <c r="AP168" s="1826" t="s">
        <v>148</v>
      </c>
      <c r="AQ168" s="1827"/>
      <c r="AR168" s="1827"/>
      <c r="AS168" s="1827"/>
      <c r="AT168" s="1827"/>
      <c r="AU168" s="1827"/>
      <c r="AV168" s="1827"/>
      <c r="AW168" s="1827"/>
      <c r="AX168" s="1827"/>
      <c r="AY168" s="1828"/>
    </row>
    <row r="169" spans="1:61" ht="41.25" customHeight="1" x14ac:dyDescent="0.25">
      <c r="A169" s="1161" t="s">
        <v>7</v>
      </c>
      <c r="B169" s="1760" t="s">
        <v>40</v>
      </c>
      <c r="C169" s="1761"/>
      <c r="D169" s="1761"/>
      <c r="E169" s="1761"/>
      <c r="F169" s="1761"/>
      <c r="G169" s="1761"/>
      <c r="H169" s="1761"/>
      <c r="I169" s="1761"/>
      <c r="J169" s="1761"/>
      <c r="K169" s="1762"/>
      <c r="L169" s="1760" t="s">
        <v>39</v>
      </c>
      <c r="M169" s="1761"/>
      <c r="N169" s="1761"/>
      <c r="O169" s="1761"/>
      <c r="P169" s="1761"/>
      <c r="Q169" s="1761"/>
      <c r="R169" s="1761"/>
      <c r="S169" s="1761"/>
      <c r="T169" s="1761"/>
      <c r="U169" s="1762"/>
      <c r="V169" s="1829"/>
      <c r="W169" s="1763"/>
      <c r="X169" s="1763"/>
      <c r="Y169" s="1763"/>
      <c r="Z169" s="1763"/>
      <c r="AA169" s="1763"/>
      <c r="AB169" s="1763"/>
      <c r="AC169" s="1763"/>
      <c r="AD169" s="1763"/>
      <c r="AE169" s="1830"/>
      <c r="AF169" s="1829"/>
      <c r="AG169" s="1763"/>
      <c r="AH169" s="1763"/>
      <c r="AI169" s="1763"/>
      <c r="AJ169" s="1763"/>
      <c r="AK169" s="1763"/>
      <c r="AL169" s="1763"/>
      <c r="AM169" s="1763"/>
      <c r="AN169" s="1763"/>
      <c r="AO169" s="1830"/>
      <c r="AP169" s="1829"/>
      <c r="AQ169" s="1763"/>
      <c r="AR169" s="1763"/>
      <c r="AS169" s="1763"/>
      <c r="AT169" s="1763"/>
      <c r="AU169" s="1763"/>
      <c r="AV169" s="1763"/>
      <c r="AW169" s="1763"/>
      <c r="AX169" s="1763"/>
      <c r="AY169" s="1830"/>
    </row>
    <row r="170" spans="1:61" ht="41.25" customHeight="1" x14ac:dyDescent="0.25">
      <c r="A170" s="1161"/>
      <c r="B170" s="1826" t="s">
        <v>148</v>
      </c>
      <c r="C170" s="1827"/>
      <c r="D170" s="1827"/>
      <c r="E170" s="1827"/>
      <c r="F170" s="1827"/>
      <c r="G170" s="1827"/>
      <c r="H170" s="1827"/>
      <c r="I170" s="1827"/>
      <c r="J170" s="1827"/>
      <c r="K170" s="1828"/>
      <c r="L170" s="1823" t="s">
        <v>148</v>
      </c>
      <c r="M170" s="1824"/>
      <c r="N170" s="1824"/>
      <c r="O170" s="1824"/>
      <c r="P170" s="1824"/>
      <c r="Q170" s="1824"/>
      <c r="R170" s="1824"/>
      <c r="S170" s="1824"/>
      <c r="T170" s="1824"/>
      <c r="U170" s="1824"/>
      <c r="V170" s="475"/>
      <c r="W170" s="476"/>
      <c r="X170" s="476"/>
      <c r="Y170" s="476"/>
      <c r="Z170" s="587"/>
      <c r="AA170" s="586"/>
      <c r="AB170" s="476"/>
      <c r="AC170" s="476"/>
      <c r="AD170" s="476"/>
      <c r="AE170" s="477"/>
      <c r="AF170" s="1815"/>
      <c r="AG170" s="1816"/>
      <c r="AH170" s="1816"/>
      <c r="AI170" s="1816"/>
      <c r="AJ170" s="1816"/>
      <c r="AK170" s="1816"/>
      <c r="AL170" s="1816"/>
      <c r="AM170" s="1816"/>
      <c r="AN170" s="1816"/>
      <c r="AO170" s="1817"/>
      <c r="AP170" s="1815"/>
      <c r="AQ170" s="1816"/>
      <c r="AR170" s="1816"/>
      <c r="AS170" s="1816"/>
      <c r="AT170" s="1816"/>
      <c r="AU170" s="1816"/>
      <c r="AV170" s="1816"/>
      <c r="AW170" s="1816"/>
      <c r="AX170" s="1816"/>
      <c r="AY170" s="1817"/>
    </row>
    <row r="171" spans="1:61" ht="41.25" customHeight="1" x14ac:dyDescent="0.25">
      <c r="A171" s="1161" t="s">
        <v>8</v>
      </c>
      <c r="B171" s="1760" t="s">
        <v>40</v>
      </c>
      <c r="C171" s="1761"/>
      <c r="D171" s="1761"/>
      <c r="E171" s="1761"/>
      <c r="F171" s="1761"/>
      <c r="G171" s="1761"/>
      <c r="H171" s="1761"/>
      <c r="I171" s="1761"/>
      <c r="J171" s="1761"/>
      <c r="K171" s="1762"/>
      <c r="L171" s="1760" t="s">
        <v>48</v>
      </c>
      <c r="M171" s="1761"/>
      <c r="N171" s="1761"/>
      <c r="O171" s="1761"/>
      <c r="P171" s="1761"/>
      <c r="Q171" s="1761"/>
      <c r="R171" s="1761"/>
      <c r="S171" s="1761"/>
      <c r="T171" s="1761"/>
      <c r="U171" s="1762"/>
      <c r="V171" s="1829"/>
      <c r="W171" s="1763"/>
      <c r="X171" s="1763"/>
      <c r="Y171" s="1763"/>
      <c r="Z171" s="1763"/>
      <c r="AA171" s="1763"/>
      <c r="AB171" s="1763"/>
      <c r="AC171" s="1763"/>
      <c r="AD171" s="1763"/>
      <c r="AE171" s="1830"/>
      <c r="AF171" s="1829"/>
      <c r="AG171" s="1763"/>
      <c r="AH171" s="1763"/>
      <c r="AI171" s="1763"/>
      <c r="AJ171" s="1763"/>
      <c r="AK171" s="1763"/>
      <c r="AL171" s="1763"/>
      <c r="AM171" s="1763"/>
      <c r="AN171" s="1763"/>
      <c r="AO171" s="1830"/>
      <c r="AP171" s="1829"/>
      <c r="AQ171" s="1763"/>
      <c r="AR171" s="1763"/>
      <c r="AS171" s="1763"/>
      <c r="AT171" s="1763"/>
      <c r="AU171" s="1763"/>
      <c r="AV171" s="1763"/>
      <c r="AW171" s="1763"/>
      <c r="AX171" s="1763"/>
      <c r="AY171" s="1830"/>
    </row>
    <row r="172" spans="1:61" ht="41.25" customHeight="1" x14ac:dyDescent="0.25">
      <c r="A172" s="1161"/>
      <c r="B172" s="1826" t="s">
        <v>148</v>
      </c>
      <c r="C172" s="1827"/>
      <c r="D172" s="1827"/>
      <c r="E172" s="1827"/>
      <c r="F172" s="1827"/>
      <c r="G172" s="1827"/>
      <c r="H172" s="1827"/>
      <c r="I172" s="1827"/>
      <c r="J172" s="1827"/>
      <c r="K172" s="1828"/>
      <c r="L172" s="1823" t="s">
        <v>148</v>
      </c>
      <c r="M172" s="1824"/>
      <c r="N172" s="1824"/>
      <c r="O172" s="1824"/>
      <c r="P172" s="1824"/>
      <c r="Q172" s="1824"/>
      <c r="R172" s="1824"/>
      <c r="S172" s="1824"/>
      <c r="T172" s="1824"/>
      <c r="U172" s="1824"/>
      <c r="V172" s="1815"/>
      <c r="W172" s="1816"/>
      <c r="X172" s="1816"/>
      <c r="Y172" s="1816"/>
      <c r="Z172" s="1816"/>
      <c r="AA172" s="1816"/>
      <c r="AB172" s="1816"/>
      <c r="AC172" s="1816"/>
      <c r="AD172" s="1816"/>
      <c r="AE172" s="1817"/>
      <c r="AF172" s="1815"/>
      <c r="AG172" s="1816"/>
      <c r="AH172" s="1816"/>
      <c r="AI172" s="1816"/>
      <c r="AJ172" s="1816"/>
      <c r="AK172" s="1816"/>
      <c r="AL172" s="1816"/>
      <c r="AM172" s="1816"/>
      <c r="AN172" s="1816"/>
      <c r="AO172" s="1817"/>
      <c r="AP172" s="1815"/>
      <c r="AQ172" s="1816"/>
      <c r="AR172" s="1816"/>
      <c r="AS172" s="1816"/>
      <c r="AT172" s="1816"/>
      <c r="AU172" s="1816"/>
      <c r="AV172" s="1816"/>
      <c r="AW172" s="1816"/>
      <c r="AX172" s="1816"/>
      <c r="AY172" s="1817"/>
    </row>
    <row r="173" spans="1:61" ht="41.25" customHeight="1" x14ac:dyDescent="0.25">
      <c r="A173" s="1161" t="s">
        <v>9</v>
      </c>
      <c r="B173" s="1829"/>
      <c r="C173" s="1763"/>
      <c r="D173" s="1763"/>
      <c r="E173" s="1763"/>
      <c r="F173" s="1763"/>
      <c r="G173" s="1763"/>
      <c r="H173" s="1763"/>
      <c r="I173" s="1763"/>
      <c r="J173" s="1763"/>
      <c r="K173" s="1830"/>
      <c r="L173" s="1760" t="s">
        <v>48</v>
      </c>
      <c r="M173" s="1761"/>
      <c r="N173" s="1761"/>
      <c r="O173" s="1761"/>
      <c r="P173" s="1761"/>
      <c r="Q173" s="1761"/>
      <c r="R173" s="1761"/>
      <c r="S173" s="1761"/>
      <c r="T173" s="1761"/>
      <c r="U173" s="1762"/>
      <c r="V173" s="1829"/>
      <c r="W173" s="1763"/>
      <c r="X173" s="1763"/>
      <c r="Y173" s="1763"/>
      <c r="Z173" s="1763"/>
      <c r="AA173" s="1763"/>
      <c r="AB173" s="1763"/>
      <c r="AC173" s="1763"/>
      <c r="AD173" s="1763"/>
      <c r="AE173" s="585"/>
      <c r="AF173" s="1829"/>
      <c r="AG173" s="1763"/>
      <c r="AH173" s="1763"/>
      <c r="AI173" s="1763"/>
      <c r="AJ173" s="1763"/>
      <c r="AK173" s="1763"/>
      <c r="AL173" s="1763"/>
      <c r="AM173" s="1763"/>
      <c r="AN173" s="1763"/>
      <c r="AO173" s="1830"/>
      <c r="AP173" s="1829"/>
      <c r="AQ173" s="1763"/>
      <c r="AR173" s="1763"/>
      <c r="AS173" s="1763"/>
      <c r="AT173" s="1763"/>
      <c r="AU173" s="1763"/>
      <c r="AV173" s="1763"/>
      <c r="AW173" s="1763"/>
      <c r="AX173" s="1763"/>
      <c r="AY173" s="1830"/>
    </row>
    <row r="174" spans="1:61" ht="41.25" customHeight="1" thickBot="1" x14ac:dyDescent="0.3">
      <c r="A174" s="1238"/>
      <c r="B174" s="1773"/>
      <c r="C174" s="1774"/>
      <c r="D174" s="1774"/>
      <c r="E174" s="1774"/>
      <c r="F174" s="1774"/>
      <c r="G174" s="1774"/>
      <c r="H174" s="1774"/>
      <c r="I174" s="1774"/>
      <c r="J174" s="1774"/>
      <c r="K174" s="1775"/>
      <c r="L174" s="1767" t="s">
        <v>148</v>
      </c>
      <c r="M174" s="1768"/>
      <c r="N174" s="1768"/>
      <c r="O174" s="1768"/>
      <c r="P174" s="1768"/>
      <c r="Q174" s="1768"/>
      <c r="R174" s="1768"/>
      <c r="S174" s="1768"/>
      <c r="T174" s="1768"/>
      <c r="U174" s="1769"/>
      <c r="V174" s="1773"/>
      <c r="W174" s="1774"/>
      <c r="X174" s="1774"/>
      <c r="Y174" s="1774"/>
      <c r="Z174" s="1774"/>
      <c r="AA174" s="1774"/>
      <c r="AB174" s="1774"/>
      <c r="AC174" s="1774"/>
      <c r="AD174" s="1774"/>
      <c r="AE174" s="1775"/>
      <c r="AF174" s="1773"/>
      <c r="AG174" s="1774"/>
      <c r="AH174" s="1774"/>
      <c r="AI174" s="1774"/>
      <c r="AJ174" s="1774"/>
      <c r="AK174" s="1774"/>
      <c r="AL174" s="1774"/>
      <c r="AM174" s="1774"/>
      <c r="AN174" s="1774"/>
      <c r="AO174" s="1775"/>
      <c r="AP174" s="1773"/>
      <c r="AQ174" s="1774"/>
      <c r="AR174" s="1774"/>
      <c r="AS174" s="1774"/>
      <c r="AT174" s="1774"/>
      <c r="AU174" s="1774"/>
      <c r="AV174" s="1774"/>
      <c r="AW174" s="1774"/>
      <c r="AX174" s="1774"/>
      <c r="AY174" s="177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33" t="s">
        <v>214</v>
      </c>
      <c r="B176" s="935"/>
      <c r="C176" s="1033" t="s">
        <v>215</v>
      </c>
      <c r="D176" s="934"/>
      <c r="E176" s="934"/>
      <c r="F176" s="934"/>
      <c r="G176" s="934"/>
      <c r="H176" s="934"/>
      <c r="I176" s="934"/>
      <c r="J176" s="934"/>
      <c r="K176" s="934"/>
      <c r="L176" s="934"/>
      <c r="M176" s="934"/>
      <c r="N176" s="934"/>
      <c r="O176" s="1033" t="s">
        <v>297</v>
      </c>
      <c r="P176" s="934"/>
      <c r="Q176" s="934"/>
      <c r="R176" s="935"/>
      <c r="S176" s="1033" t="s">
        <v>139</v>
      </c>
      <c r="T176" s="935"/>
      <c r="U176" s="1787" t="s">
        <v>163</v>
      </c>
      <c r="V176" s="1788"/>
      <c r="W176" s="1788"/>
      <c r="X176" s="1788"/>
      <c r="Y176" s="1788"/>
      <c r="Z176" s="1788"/>
      <c r="AA176" s="1788"/>
      <c r="AB176" s="1788"/>
      <c r="AC176" s="1788"/>
      <c r="AD176" s="1788"/>
      <c r="AE176" s="1788"/>
      <c r="AF176" s="1788"/>
      <c r="AG176" s="1788"/>
      <c r="AH176" s="1788"/>
      <c r="AI176" s="1788"/>
      <c r="AJ176" s="1788"/>
      <c r="AK176" s="1788"/>
      <c r="AL176" s="1788"/>
      <c r="AM176" s="1788"/>
      <c r="AN176" s="1788"/>
      <c r="AO176" s="1789"/>
      <c r="AQ176" s="1866" t="s">
        <v>1012</v>
      </c>
      <c r="AR176" s="1867"/>
      <c r="AS176" s="1867"/>
      <c r="AT176" s="1868"/>
      <c r="AU176" s="33"/>
      <c r="AV176" s="1839"/>
      <c r="AW176" s="1840"/>
      <c r="AX176" s="1840"/>
      <c r="AY176" s="1841"/>
    </row>
    <row r="177" spans="1:61" ht="14.25" customHeight="1" x14ac:dyDescent="0.25">
      <c r="A177" s="1848" t="str">
        <f>VLOOKUP(O177,ASIGNATURAS!$F$1:$L$1022, 3, FALSE)</f>
        <v>MAQ. HIDRAUL.</v>
      </c>
      <c r="B177" s="1849"/>
      <c r="C177" s="1818" t="str">
        <f>VLOOKUP(O177,ASIGNATURAS!$F$1:$L$1022, 4, FALSE)</f>
        <v>Máquinas Hidráulicas</v>
      </c>
      <c r="D177" s="1818"/>
      <c r="E177" s="1818"/>
      <c r="F177" s="1818"/>
      <c r="G177" s="1818"/>
      <c r="H177" s="1818"/>
      <c r="I177" s="1818"/>
      <c r="J177" s="1818"/>
      <c r="K177" s="1818"/>
      <c r="L177" s="1818"/>
      <c r="M177" s="1818"/>
      <c r="N177" s="1818"/>
      <c r="O177" s="1819">
        <v>6327</v>
      </c>
      <c r="P177" s="1819"/>
      <c r="Q177" s="1819"/>
      <c r="R177" s="1819"/>
      <c r="S177" s="1819">
        <f>VLOOKUP(O177,ASIGNATURAS!$F$1:$L$1022, 5, FALSE)</f>
        <v>6</v>
      </c>
      <c r="T177" s="1819"/>
      <c r="U177" s="1857" t="str">
        <f>VLOOKUP(O177,ASIGNATURAS!$F$1:$L$1022, 6, FALSE)</f>
        <v>Ignacio Velázquez, David González</v>
      </c>
      <c r="V177" s="1858"/>
      <c r="W177" s="1858"/>
      <c r="X177" s="1858"/>
      <c r="Y177" s="1858"/>
      <c r="Z177" s="1858"/>
      <c r="AA177" s="1858"/>
      <c r="AB177" s="1858"/>
      <c r="AC177" s="1858"/>
      <c r="AD177" s="1858"/>
      <c r="AE177" s="1858"/>
      <c r="AF177" s="1858"/>
      <c r="AG177" s="1858"/>
      <c r="AH177" s="1858"/>
      <c r="AI177" s="1858"/>
      <c r="AJ177" s="1858"/>
      <c r="AK177" s="1858"/>
      <c r="AL177" s="1858"/>
      <c r="AM177" s="1858"/>
      <c r="AN177" s="1858"/>
      <c r="AO177" s="1859"/>
      <c r="AQ177" s="1869"/>
      <c r="AR177" s="1870"/>
      <c r="AS177" s="1870"/>
      <c r="AT177" s="1871"/>
      <c r="AV177" s="1842"/>
      <c r="AW177" s="1843"/>
      <c r="AX177" s="1843"/>
      <c r="AY177" s="1844"/>
    </row>
    <row r="178" spans="1:61" ht="15" x14ac:dyDescent="0.25">
      <c r="A178" s="1848" t="str">
        <f>VLOOKUP(O178,ASIGNATURAS!$F$1:$L$1022, 3, FALSE)</f>
        <v>TERMICA II</v>
      </c>
      <c r="B178" s="1849"/>
      <c r="C178" s="1795" t="str">
        <f>VLOOKUP(O178,ASIGNATURAS!$F$1:$L$1022, 4, FALSE)</f>
        <v>Ingeniería Térmica II</v>
      </c>
      <c r="D178" s="1795"/>
      <c r="E178" s="1795"/>
      <c r="F178" s="1795"/>
      <c r="G178" s="1795"/>
      <c r="H178" s="1795"/>
      <c r="I178" s="1795"/>
      <c r="J178" s="1795"/>
      <c r="K178" s="1795"/>
      <c r="L178" s="1795"/>
      <c r="M178" s="1795"/>
      <c r="N178" s="1795"/>
      <c r="O178" s="1765">
        <v>6328</v>
      </c>
      <c r="P178" s="1765"/>
      <c r="Q178" s="1765"/>
      <c r="R178" s="1765"/>
      <c r="S178" s="1765">
        <f>VLOOKUP(O178,ASIGNATURAS!$F$1:$L$1022, 5, FALSE)</f>
        <v>6</v>
      </c>
      <c r="T178" s="1765"/>
      <c r="U178" s="1770" t="str">
        <f>VLOOKUP(O178,ASIGNATURAS!$F$1:$L$1022, 6, FALSE)</f>
        <v>Cristina Alonso Tristán,  David González</v>
      </c>
      <c r="V178" s="1771"/>
      <c r="W178" s="1771"/>
      <c r="X178" s="1771"/>
      <c r="Y178" s="1771"/>
      <c r="Z178" s="1771"/>
      <c r="AA178" s="1771"/>
      <c r="AB178" s="1771"/>
      <c r="AC178" s="1771"/>
      <c r="AD178" s="1771"/>
      <c r="AE178" s="1771"/>
      <c r="AF178" s="1771"/>
      <c r="AG178" s="1771"/>
      <c r="AH178" s="1771"/>
      <c r="AI178" s="1771"/>
      <c r="AJ178" s="1771"/>
      <c r="AK178" s="1771"/>
      <c r="AL178" s="1771"/>
      <c r="AM178" s="1771"/>
      <c r="AN178" s="1771"/>
      <c r="AO178" s="1772"/>
      <c r="AQ178" s="1784" t="s">
        <v>1008</v>
      </c>
      <c r="AR178" s="1785"/>
      <c r="AS178" s="1785"/>
      <c r="AT178" s="1786"/>
      <c r="AV178" s="1863"/>
      <c r="AW178" s="1864"/>
      <c r="AX178" s="1864"/>
      <c r="AY178" s="1865"/>
    </row>
    <row r="179" spans="1:61" ht="14.25" customHeight="1" x14ac:dyDescent="0.25">
      <c r="A179" s="1848" t="str">
        <f>VLOOKUP(O179,ASIGNATURAS!$F$1:$L$1022, 3, FALSE)</f>
        <v>DISEÑO MAQ. I</v>
      </c>
      <c r="B179" s="1849"/>
      <c r="C179" s="1795" t="str">
        <f>VLOOKUP(O179,ASIGNATURAS!$F$1:$L$1022, 4, FALSE)</f>
        <v>Diseño de Máquinas I</v>
      </c>
      <c r="D179" s="1795"/>
      <c r="E179" s="1795"/>
      <c r="F179" s="1795"/>
      <c r="G179" s="1795"/>
      <c r="H179" s="1795"/>
      <c r="I179" s="1795"/>
      <c r="J179" s="1795"/>
      <c r="K179" s="1795"/>
      <c r="L179" s="1795"/>
      <c r="M179" s="1795"/>
      <c r="N179" s="1795"/>
      <c r="O179" s="1765">
        <v>6329</v>
      </c>
      <c r="P179" s="1765"/>
      <c r="Q179" s="1765"/>
      <c r="R179" s="1765"/>
      <c r="S179" s="1765">
        <f>VLOOKUP(O179,ASIGNATURAS!$F$1:$L$1022, 5, FALSE)</f>
        <v>6</v>
      </c>
      <c r="T179" s="1765"/>
      <c r="U179" s="1770" t="str">
        <f>VLOOKUP(O179,ASIGNATURAS!$F$1:$L$1022, 6, FALSE)</f>
        <v>Mª José García</v>
      </c>
      <c r="V179" s="1771"/>
      <c r="W179" s="1771"/>
      <c r="X179" s="1771"/>
      <c r="Y179" s="1771"/>
      <c r="Z179" s="1771"/>
      <c r="AA179" s="1771"/>
      <c r="AB179" s="1771"/>
      <c r="AC179" s="1771"/>
      <c r="AD179" s="1771"/>
      <c r="AE179" s="1771"/>
      <c r="AF179" s="1771"/>
      <c r="AG179" s="1771"/>
      <c r="AH179" s="1771"/>
      <c r="AI179" s="1771"/>
      <c r="AJ179" s="1771"/>
      <c r="AK179" s="1771"/>
      <c r="AL179" s="1771"/>
      <c r="AM179" s="1771"/>
      <c r="AN179" s="1771"/>
      <c r="AO179" s="1772"/>
      <c r="AQ179" s="1779" t="s">
        <v>569</v>
      </c>
      <c r="AR179" s="1780"/>
      <c r="AS179" s="1780"/>
      <c r="AT179" s="1781"/>
      <c r="AU179" s="33"/>
      <c r="AV179" s="1860"/>
      <c r="AW179" s="1861"/>
      <c r="AX179" s="1861"/>
      <c r="AY179" s="1862"/>
    </row>
    <row r="180" spans="1:61" ht="14.25" customHeight="1" x14ac:dyDescent="0.25">
      <c r="A180" s="1848" t="str">
        <f>VLOOKUP(O180,ASIGNATURAS!$F$1:$L$1022, 3, FALSE)</f>
        <v>ESTRUCTURAS I</v>
      </c>
      <c r="B180" s="1849"/>
      <c r="C180" s="1795" t="str">
        <f>VLOOKUP(O180,ASIGNATURAS!$F$1:$L$1022, 4, FALSE)</f>
        <v>Estructuras I</v>
      </c>
      <c r="D180" s="1795"/>
      <c r="E180" s="1795"/>
      <c r="F180" s="1795"/>
      <c r="G180" s="1795"/>
      <c r="H180" s="1795"/>
      <c r="I180" s="1795"/>
      <c r="J180" s="1795"/>
      <c r="K180" s="1795"/>
      <c r="L180" s="1795"/>
      <c r="M180" s="1795"/>
      <c r="N180" s="1795"/>
      <c r="O180" s="1765">
        <v>6330</v>
      </c>
      <c r="P180" s="1765"/>
      <c r="Q180" s="1765"/>
      <c r="R180" s="1765"/>
      <c r="S180" s="1765">
        <f>VLOOKUP(O180,ASIGNATURAS!$F$1:$L$1022, 5, FALSE)</f>
        <v>6</v>
      </c>
      <c r="T180" s="1765"/>
      <c r="U180" s="1770" t="str">
        <f>VLOOKUP(O180,ASIGNATURAS!$F$1:$L$1022, 6, FALSE)</f>
        <v>Jesus Moreno Revilla, Rosario Moradillo</v>
      </c>
      <c r="V180" s="1771"/>
      <c r="W180" s="1771"/>
      <c r="X180" s="1771"/>
      <c r="Y180" s="1771"/>
      <c r="Z180" s="1771"/>
      <c r="AA180" s="1771"/>
      <c r="AB180" s="1771"/>
      <c r="AC180" s="1771"/>
      <c r="AD180" s="1771"/>
      <c r="AE180" s="1771"/>
      <c r="AF180" s="1771"/>
      <c r="AG180" s="1771"/>
      <c r="AH180" s="1771"/>
      <c r="AI180" s="1771"/>
      <c r="AJ180" s="1771"/>
      <c r="AK180" s="1771"/>
      <c r="AL180" s="1771"/>
      <c r="AM180" s="1771"/>
      <c r="AN180" s="1771"/>
      <c r="AO180" s="1772"/>
      <c r="AQ180" s="1779" t="s">
        <v>570</v>
      </c>
      <c r="AR180" s="1780"/>
      <c r="AS180" s="1780"/>
      <c r="AT180" s="1781"/>
      <c r="AU180" s="33"/>
      <c r="AV180" s="1860"/>
      <c r="AW180" s="1861"/>
      <c r="AX180" s="1861"/>
      <c r="AY180" s="1862"/>
    </row>
    <row r="181" spans="1:61" ht="15.6" thickBot="1" x14ac:dyDescent="0.3">
      <c r="A181" s="1782" t="str">
        <f>VLOOKUP(O181,ASIGNATURAS!$F$1:$L$1022, 3, FALSE)</f>
        <v>TECN. MEC. I</v>
      </c>
      <c r="B181" s="1783"/>
      <c r="C181" s="1831" t="str">
        <f>VLOOKUP(O181,ASIGNATURAS!$F$1:$L$1022, 4, FALSE)</f>
        <v>Tecnología Mecánica I</v>
      </c>
      <c r="D181" s="1831"/>
      <c r="E181" s="1831"/>
      <c r="F181" s="1831"/>
      <c r="G181" s="1831"/>
      <c r="H181" s="1831"/>
      <c r="I181" s="1831"/>
      <c r="J181" s="1831"/>
      <c r="K181" s="1831"/>
      <c r="L181" s="1831"/>
      <c r="M181" s="1831"/>
      <c r="N181" s="1831"/>
      <c r="O181" s="1766">
        <v>6331</v>
      </c>
      <c r="P181" s="1766"/>
      <c r="Q181" s="1766"/>
      <c r="R181" s="1766"/>
      <c r="S181" s="1766">
        <f>VLOOKUP(O181,ASIGNATURAS!$F$1:$L$1022, 5, FALSE)</f>
        <v>6</v>
      </c>
      <c r="T181" s="1766"/>
      <c r="U181" s="1833" t="str">
        <f>VLOOKUP(O181,ASIGNATURAS!$F$1:$L$1022, 6, FALSE)</f>
        <v>Mirian Lorenzo</v>
      </c>
      <c r="V181" s="1834"/>
      <c r="W181" s="1834"/>
      <c r="X181" s="1834"/>
      <c r="Y181" s="1834"/>
      <c r="Z181" s="1834"/>
      <c r="AA181" s="1834"/>
      <c r="AB181" s="1834"/>
      <c r="AC181" s="1834"/>
      <c r="AD181" s="1834"/>
      <c r="AE181" s="1834"/>
      <c r="AF181" s="1834"/>
      <c r="AG181" s="1834"/>
      <c r="AH181" s="1834"/>
      <c r="AI181" s="1834"/>
      <c r="AJ181" s="1834"/>
      <c r="AK181" s="1834"/>
      <c r="AL181" s="1834"/>
      <c r="AM181" s="1834"/>
      <c r="AN181" s="1834"/>
      <c r="AO181" s="1835"/>
      <c r="AQ181" s="1854"/>
      <c r="AR181" s="1855"/>
      <c r="AS181" s="1855"/>
      <c r="AT181" s="1856"/>
      <c r="AV181" s="1836"/>
      <c r="AW181" s="1837"/>
      <c r="AX181" s="1837"/>
      <c r="AY181" s="1838"/>
    </row>
    <row r="182" spans="1:61" ht="13.8" thickBot="1" x14ac:dyDescent="0.3">
      <c r="AQ182" s="1845"/>
      <c r="AR182" s="1846"/>
      <c r="AS182" s="1846"/>
      <c r="AT182" s="1847"/>
    </row>
    <row r="183" spans="1:61" x14ac:dyDescent="0.25">
      <c r="A183" s="345"/>
    </row>
    <row r="184" spans="1:61" ht="15.6" thickBot="1" x14ac:dyDescent="0.3">
      <c r="A184" s="93" t="s">
        <v>213</v>
      </c>
    </row>
    <row r="185" spans="1:61" s="1" customFormat="1" ht="31.5" customHeight="1" thickBot="1" x14ac:dyDescent="0.45">
      <c r="A185" s="1135" t="str">
        <f>VLOOKUP(A188,ASIGNATURAS!$A$2:$D$151, 3, FALSE)</f>
        <v>4º Grado en Ingeniería Mecánica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975" t="str">
        <f>Aulas!G5</f>
        <v>Curso 2024-2025</v>
      </c>
      <c r="AQ185" s="976"/>
      <c r="AR185" s="976"/>
      <c r="AS185" s="976"/>
      <c r="AT185" s="976"/>
      <c r="AU185" s="976"/>
      <c r="AV185" s="976"/>
      <c r="AW185" s="976"/>
      <c r="AX185" s="976"/>
      <c r="AY185" s="977"/>
      <c r="BA185"/>
      <c r="BB185"/>
      <c r="BC185"/>
      <c r="BD185"/>
      <c r="BE185"/>
      <c r="BF185"/>
      <c r="BG185"/>
      <c r="BH185"/>
      <c r="BI185"/>
    </row>
    <row r="186" spans="1:61" s="8" customFormat="1" ht="23.25" customHeight="1" thickBot="1" x14ac:dyDescent="0.45">
      <c r="A186" s="1132" t="str">
        <f>VLOOKUP(A188,ASIGNATURAS!$A$2:$D$151, 2, FALSE)</f>
        <v>Semestre temporal: 1º        (7º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798" t="s">
        <v>553</v>
      </c>
      <c r="AQ186" s="1013"/>
      <c r="AR186" s="1013"/>
      <c r="AS186" s="1013"/>
      <c r="AT186" s="1013"/>
      <c r="AU186" s="1013"/>
      <c r="AV186" s="1013"/>
      <c r="AW186" s="1013"/>
      <c r="AX186" s="1013"/>
      <c r="AY186" s="1014"/>
      <c r="BA186"/>
      <c r="BB186"/>
      <c r="BC186"/>
      <c r="BD186"/>
      <c r="BE186"/>
      <c r="BF186"/>
      <c r="BG186"/>
      <c r="BH186"/>
      <c r="BI186"/>
    </row>
    <row r="187" spans="1:61" s="8" customFormat="1" ht="23.25" customHeight="1" thickBot="1" x14ac:dyDescent="0.45">
      <c r="A187" s="1132" t="s">
        <v>177</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799"/>
      <c r="AQ187" s="1015"/>
      <c r="AR187" s="1015"/>
      <c r="AS187" s="1015"/>
      <c r="AT187" s="1015"/>
      <c r="AU187" s="1015"/>
      <c r="AV187" s="1015"/>
      <c r="AW187" s="1015"/>
      <c r="AX187" s="1015"/>
      <c r="AY187" s="1016"/>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1064" t="s">
        <v>2</v>
      </c>
      <c r="C189" s="1065"/>
      <c r="D189" s="1065"/>
      <c r="E189" s="1065"/>
      <c r="F189" s="1065"/>
      <c r="G189" s="1065"/>
      <c r="H189" s="1065"/>
      <c r="I189" s="1065"/>
      <c r="J189" s="1065"/>
      <c r="K189" s="1066"/>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1064" t="s">
        <v>4</v>
      </c>
      <c r="AG189" s="1065"/>
      <c r="AH189" s="1065"/>
      <c r="AI189" s="1065"/>
      <c r="AJ189" s="1065"/>
      <c r="AK189" s="1065"/>
      <c r="AL189" s="1065"/>
      <c r="AM189" s="1065"/>
      <c r="AN189" s="1065"/>
      <c r="AO189" s="1066"/>
      <c r="AP189" s="1064" t="s">
        <v>5</v>
      </c>
      <c r="AQ189" s="1065"/>
      <c r="AR189" s="1065"/>
      <c r="AS189" s="1065"/>
      <c r="AT189" s="1065"/>
      <c r="AU189" s="1065"/>
      <c r="AV189" s="1065"/>
      <c r="AW189" s="1065"/>
      <c r="AX189" s="1065"/>
      <c r="AY189" s="1066"/>
      <c r="BA189"/>
      <c r="BB189"/>
      <c r="BC189"/>
      <c r="BD189"/>
      <c r="BE189"/>
      <c r="BF189"/>
      <c r="BG189"/>
      <c r="BH189"/>
      <c r="BI189"/>
    </row>
    <row r="190" spans="1:61" ht="42" customHeight="1" x14ac:dyDescent="0.25">
      <c r="A190" s="1375" t="s">
        <v>1091</v>
      </c>
      <c r="B190" s="1820" t="s">
        <v>140</v>
      </c>
      <c r="C190" s="1821"/>
      <c r="D190" s="1821"/>
      <c r="E190" s="1821"/>
      <c r="F190" s="1821"/>
      <c r="G190" s="1821"/>
      <c r="H190" s="1821"/>
      <c r="I190" s="1821"/>
      <c r="J190" s="1821"/>
      <c r="K190" s="1822"/>
      <c r="L190" s="1851"/>
      <c r="M190" s="1852"/>
      <c r="N190" s="1852"/>
      <c r="O190" s="1852"/>
      <c r="P190" s="1852"/>
      <c r="Q190" s="1852"/>
      <c r="R190" s="1852"/>
      <c r="S190" s="1852"/>
      <c r="T190" s="1852"/>
      <c r="U190" s="1853"/>
      <c r="V190" s="1760" t="s">
        <v>41</v>
      </c>
      <c r="W190" s="1761"/>
      <c r="X190" s="1761"/>
      <c r="Y190" s="1761"/>
      <c r="Z190" s="1761"/>
      <c r="AA190" s="1761"/>
      <c r="AB190" s="1761"/>
      <c r="AC190" s="1761"/>
      <c r="AD190" s="1761"/>
      <c r="AE190" s="1762"/>
      <c r="AF190" s="1820" t="s">
        <v>42</v>
      </c>
      <c r="AG190" s="1821"/>
      <c r="AH190" s="1821"/>
      <c r="AI190" s="1821"/>
      <c r="AJ190" s="1821"/>
      <c r="AK190" s="1821"/>
      <c r="AL190" s="1821"/>
      <c r="AM190" s="1821"/>
      <c r="AN190" s="1821"/>
      <c r="AO190" s="1822"/>
      <c r="AP190" s="2031"/>
      <c r="AQ190" s="1764"/>
      <c r="AR190" s="1764"/>
      <c r="AS190" s="1764"/>
      <c r="AT190" s="1764"/>
      <c r="AU190" s="1764"/>
      <c r="AV190" s="1764"/>
      <c r="AW190" s="1764"/>
      <c r="AX190" s="1764"/>
      <c r="AY190" s="2032"/>
    </row>
    <row r="191" spans="1:61" ht="42" customHeight="1" x14ac:dyDescent="0.25">
      <c r="A191" s="1105"/>
      <c r="B191" s="1826" t="s">
        <v>553</v>
      </c>
      <c r="C191" s="1827"/>
      <c r="D191" s="1827"/>
      <c r="E191" s="1827"/>
      <c r="F191" s="1827"/>
      <c r="G191" s="1827"/>
      <c r="H191" s="1827"/>
      <c r="I191" s="1827"/>
      <c r="J191" s="1827"/>
      <c r="K191" s="1828"/>
      <c r="L191" s="1815"/>
      <c r="M191" s="1816"/>
      <c r="N191" s="1816"/>
      <c r="O191" s="1816"/>
      <c r="P191" s="1816"/>
      <c r="Q191" s="1816"/>
      <c r="R191" s="1816"/>
      <c r="S191" s="1816"/>
      <c r="T191" s="1816"/>
      <c r="U191" s="1817"/>
      <c r="V191" s="1826" t="s">
        <v>619</v>
      </c>
      <c r="W191" s="1827"/>
      <c r="X191" s="1827"/>
      <c r="Y191" s="1827"/>
      <c r="Z191" s="1827"/>
      <c r="AA191" s="1827"/>
      <c r="AB191" s="1827"/>
      <c r="AC191" s="1827"/>
      <c r="AD191" s="1827"/>
      <c r="AE191" s="1828"/>
      <c r="AF191" s="1826" t="s">
        <v>553</v>
      </c>
      <c r="AG191" s="1827"/>
      <c r="AH191" s="1827"/>
      <c r="AI191" s="1827"/>
      <c r="AJ191" s="1827"/>
      <c r="AK191" s="1827"/>
      <c r="AL191" s="1827"/>
      <c r="AM191" s="1827"/>
      <c r="AN191" s="1827"/>
      <c r="AO191" s="1828"/>
      <c r="AP191" s="1815"/>
      <c r="AQ191" s="1816"/>
      <c r="AR191" s="1816"/>
      <c r="AS191" s="1816"/>
      <c r="AT191" s="1816"/>
      <c r="AU191" s="1816"/>
      <c r="AV191" s="1816"/>
      <c r="AW191" s="1816"/>
      <c r="AX191" s="1816"/>
      <c r="AY191" s="1817"/>
      <c r="BD191" s="20"/>
    </row>
    <row r="192" spans="1:61" ht="42" customHeight="1" x14ac:dyDescent="0.25">
      <c r="A192" s="1100" t="s">
        <v>183</v>
      </c>
      <c r="B192" s="1760" t="s">
        <v>43</v>
      </c>
      <c r="C192" s="1761"/>
      <c r="D192" s="1761"/>
      <c r="E192" s="1761"/>
      <c r="F192" s="1761"/>
      <c r="G192" s="1761"/>
      <c r="H192" s="1761"/>
      <c r="I192" s="1761"/>
      <c r="J192" s="1761"/>
      <c r="K192" s="1762"/>
      <c r="L192" s="1760" t="s">
        <v>47</v>
      </c>
      <c r="M192" s="1761"/>
      <c r="N192" s="1761"/>
      <c r="O192" s="1761"/>
      <c r="P192" s="1761"/>
      <c r="Q192" s="1761"/>
      <c r="R192" s="1761"/>
      <c r="S192" s="1761"/>
      <c r="T192" s="1761"/>
      <c r="U192" s="1762"/>
      <c r="V192" s="1760" t="s">
        <v>41</v>
      </c>
      <c r="W192" s="1761"/>
      <c r="X192" s="1761"/>
      <c r="Y192" s="1761"/>
      <c r="Z192" s="1761"/>
      <c r="AA192" s="1761"/>
      <c r="AB192" s="1761"/>
      <c r="AC192" s="1761"/>
      <c r="AD192" s="1761"/>
      <c r="AE192" s="1762"/>
      <c r="AF192" s="1760" t="s">
        <v>42</v>
      </c>
      <c r="AG192" s="1761"/>
      <c r="AH192" s="1761"/>
      <c r="AI192" s="1761"/>
      <c r="AJ192" s="1761"/>
      <c r="AK192" s="1761"/>
      <c r="AL192" s="1761"/>
      <c r="AM192" s="1761"/>
      <c r="AN192" s="1761"/>
      <c r="AO192" s="1762"/>
      <c r="AP192" s="1829"/>
      <c r="AQ192" s="1763"/>
      <c r="AR192" s="1763"/>
      <c r="AS192" s="1763"/>
      <c r="AT192" s="1763"/>
      <c r="AU192" s="1763"/>
      <c r="AV192" s="1763"/>
      <c r="AW192" s="1763"/>
      <c r="AX192" s="1763"/>
      <c r="AY192" s="1830"/>
    </row>
    <row r="193" spans="1:51" ht="42" customHeight="1" x14ac:dyDescent="0.25">
      <c r="A193" s="1105"/>
      <c r="B193" s="1826" t="s">
        <v>553</v>
      </c>
      <c r="C193" s="1827"/>
      <c r="D193" s="1827"/>
      <c r="E193" s="1827"/>
      <c r="F193" s="1827"/>
      <c r="G193" s="1827"/>
      <c r="H193" s="1827"/>
      <c r="I193" s="1827"/>
      <c r="J193" s="1827"/>
      <c r="K193" s="1828"/>
      <c r="L193" s="1826" t="s">
        <v>553</v>
      </c>
      <c r="M193" s="1827"/>
      <c r="N193" s="1827"/>
      <c r="O193" s="1827"/>
      <c r="P193" s="1827"/>
      <c r="Q193" s="1827"/>
      <c r="R193" s="1827"/>
      <c r="S193" s="1827"/>
      <c r="T193" s="1827"/>
      <c r="U193" s="1828"/>
      <c r="V193" s="1826" t="s">
        <v>619</v>
      </c>
      <c r="W193" s="1827"/>
      <c r="X193" s="1827"/>
      <c r="Y193" s="1827"/>
      <c r="Z193" s="1827"/>
      <c r="AA193" s="1827"/>
      <c r="AB193" s="1827"/>
      <c r="AC193" s="1827"/>
      <c r="AD193" s="1827"/>
      <c r="AE193" s="1828"/>
      <c r="AF193" s="1826" t="s">
        <v>553</v>
      </c>
      <c r="AG193" s="1827"/>
      <c r="AH193" s="1827"/>
      <c r="AI193" s="1827"/>
      <c r="AJ193" s="1827"/>
      <c r="AK193" s="1827"/>
      <c r="AL193" s="1827"/>
      <c r="AM193" s="1827"/>
      <c r="AN193" s="1827"/>
      <c r="AO193" s="1828"/>
      <c r="AP193" s="1815"/>
      <c r="AQ193" s="1816"/>
      <c r="AR193" s="1816"/>
      <c r="AS193" s="1816"/>
      <c r="AT193" s="1816"/>
      <c r="AU193" s="1816"/>
      <c r="AV193" s="1816"/>
      <c r="AW193" s="1816"/>
      <c r="AX193" s="1816"/>
      <c r="AY193" s="1817"/>
    </row>
    <row r="194" spans="1:51" ht="42" customHeight="1" x14ac:dyDescent="0.25">
      <c r="A194" s="1321" t="s">
        <v>182</v>
      </c>
      <c r="B194" s="2102" t="s">
        <v>43</v>
      </c>
      <c r="C194" s="2103"/>
      <c r="D194" s="2103"/>
      <c r="E194" s="2103"/>
      <c r="F194" s="2103"/>
      <c r="G194" s="2103"/>
      <c r="H194" s="2103"/>
      <c r="I194" s="2103"/>
      <c r="J194" s="2103"/>
      <c r="K194" s="2104"/>
      <c r="L194" s="1760" t="s">
        <v>47</v>
      </c>
      <c r="M194" s="1761"/>
      <c r="N194" s="1761"/>
      <c r="O194" s="1761"/>
      <c r="P194" s="1761"/>
      <c r="Q194" s="1761"/>
      <c r="R194" s="1761"/>
      <c r="S194" s="1761"/>
      <c r="T194" s="1761"/>
      <c r="U194" s="1762"/>
      <c r="V194" s="142" t="s">
        <v>569</v>
      </c>
      <c r="W194" s="1912" t="s">
        <v>668</v>
      </c>
      <c r="X194" s="589"/>
      <c r="Y194" s="1793"/>
      <c r="Z194" s="616"/>
      <c r="AA194" s="2109"/>
      <c r="AB194" s="144"/>
      <c r="AC194" s="1926"/>
      <c r="AD194" s="145"/>
      <c r="AE194" s="2069"/>
      <c r="AF194" s="146" t="s">
        <v>569</v>
      </c>
      <c r="AG194" s="1791" t="s">
        <v>619</v>
      </c>
      <c r="AH194" s="145"/>
      <c r="AI194" s="1926"/>
      <c r="AJ194" s="144"/>
      <c r="AK194" s="1926"/>
      <c r="AL194" s="144"/>
      <c r="AM194" s="1926"/>
      <c r="AN194" s="145"/>
      <c r="AO194" s="2069"/>
      <c r="AP194" s="172"/>
      <c r="AQ194" s="1926"/>
      <c r="AR194" s="144"/>
      <c r="AS194" s="1926"/>
      <c r="AT194" s="144"/>
      <c r="AU194" s="1926"/>
      <c r="AV194" s="144"/>
      <c r="AW194" s="1926"/>
      <c r="AX194" s="144"/>
      <c r="AY194" s="2069"/>
    </row>
    <row r="195" spans="1:51" ht="42" customHeight="1" x14ac:dyDescent="0.25">
      <c r="A195" s="1321"/>
      <c r="B195" s="1826" t="s">
        <v>553</v>
      </c>
      <c r="C195" s="1827"/>
      <c r="D195" s="1827"/>
      <c r="E195" s="1827"/>
      <c r="F195" s="1827"/>
      <c r="G195" s="1827"/>
      <c r="H195" s="1827"/>
      <c r="I195" s="1827"/>
      <c r="J195" s="1827"/>
      <c r="K195" s="1828"/>
      <c r="L195" s="1826" t="s">
        <v>553</v>
      </c>
      <c r="M195" s="1827"/>
      <c r="N195" s="1827"/>
      <c r="O195" s="1827"/>
      <c r="P195" s="1827"/>
      <c r="Q195" s="1827"/>
      <c r="R195" s="1827"/>
      <c r="S195" s="1827"/>
      <c r="T195" s="1827"/>
      <c r="U195" s="1828"/>
      <c r="V195" s="1878" t="s">
        <v>43</v>
      </c>
      <c r="W195" s="1791"/>
      <c r="X195" s="1713"/>
      <c r="Y195" s="1793"/>
      <c r="Z195" s="1756"/>
      <c r="AA195" s="1754"/>
      <c r="AB195" s="1814"/>
      <c r="AC195" s="1793"/>
      <c r="AD195" s="1794"/>
      <c r="AE195" s="1880"/>
      <c r="AF195" s="1289" t="s">
        <v>41</v>
      </c>
      <c r="AG195" s="1791"/>
      <c r="AH195" s="1794"/>
      <c r="AI195" s="1793"/>
      <c r="AJ195" s="1814"/>
      <c r="AK195" s="1793"/>
      <c r="AL195" s="1814"/>
      <c r="AM195" s="1793"/>
      <c r="AN195" s="1794"/>
      <c r="AO195" s="1880"/>
      <c r="AP195" s="2079"/>
      <c r="AQ195" s="1793"/>
      <c r="AR195" s="1814"/>
      <c r="AS195" s="1793"/>
      <c r="AT195" s="1814"/>
      <c r="AU195" s="1793"/>
      <c r="AV195" s="1814"/>
      <c r="AW195" s="1793"/>
      <c r="AX195" s="1814"/>
      <c r="AY195" s="1880"/>
    </row>
    <row r="196" spans="1:51" ht="42" customHeight="1" x14ac:dyDescent="0.25">
      <c r="A196" s="1105" t="s">
        <v>184</v>
      </c>
      <c r="B196" s="482" t="s">
        <v>569</v>
      </c>
      <c r="C196" s="1791" t="s">
        <v>528</v>
      </c>
      <c r="D196" s="589"/>
      <c r="E196" s="1793"/>
      <c r="F196" s="616"/>
      <c r="G196" s="2109"/>
      <c r="H196" s="145"/>
      <c r="I196" s="1926"/>
      <c r="J196" s="145"/>
      <c r="K196" s="2069"/>
      <c r="L196" s="146" t="s">
        <v>569</v>
      </c>
      <c r="M196" s="1791" t="s">
        <v>553</v>
      </c>
      <c r="N196" s="589"/>
      <c r="O196" s="1793"/>
      <c r="P196" s="616"/>
      <c r="Q196" s="2109"/>
      <c r="R196" s="145"/>
      <c r="S196" s="1926"/>
      <c r="T196" s="144"/>
      <c r="U196" s="2069"/>
      <c r="V196" s="1878"/>
      <c r="W196" s="1791"/>
      <c r="X196" s="1713"/>
      <c r="Y196" s="1793"/>
      <c r="Z196" s="1756"/>
      <c r="AA196" s="1754"/>
      <c r="AB196" s="1814"/>
      <c r="AC196" s="1793"/>
      <c r="AD196" s="1794"/>
      <c r="AE196" s="1880"/>
      <c r="AF196" s="1289"/>
      <c r="AG196" s="1791"/>
      <c r="AH196" s="1794"/>
      <c r="AI196" s="1793"/>
      <c r="AJ196" s="1814"/>
      <c r="AK196" s="1793"/>
      <c r="AL196" s="1814"/>
      <c r="AM196" s="1793"/>
      <c r="AN196" s="1794"/>
      <c r="AO196" s="1880"/>
      <c r="AP196" s="2079"/>
      <c r="AQ196" s="1793"/>
      <c r="AR196" s="1814"/>
      <c r="AS196" s="1793"/>
      <c r="AT196" s="1814"/>
      <c r="AU196" s="1793"/>
      <c r="AV196" s="1814"/>
      <c r="AW196" s="1793"/>
      <c r="AX196" s="1814"/>
      <c r="AY196" s="1880"/>
    </row>
    <row r="197" spans="1:51" ht="42" customHeight="1" x14ac:dyDescent="0.25">
      <c r="A197" s="1321"/>
      <c r="B197" s="1796" t="s">
        <v>140</v>
      </c>
      <c r="C197" s="1791"/>
      <c r="D197" s="1713"/>
      <c r="E197" s="1793"/>
      <c r="F197" s="1756"/>
      <c r="G197" s="1754"/>
      <c r="H197" s="1794"/>
      <c r="I197" s="1793"/>
      <c r="J197" s="1794"/>
      <c r="K197" s="1880"/>
      <c r="L197" s="1075" t="s">
        <v>42</v>
      </c>
      <c r="M197" s="1791"/>
      <c r="N197" s="1814"/>
      <c r="O197" s="1793"/>
      <c r="P197" s="1756"/>
      <c r="Q197" s="1754"/>
      <c r="R197" s="1794"/>
      <c r="S197" s="1793"/>
      <c r="T197" s="1814"/>
      <c r="U197" s="1880"/>
      <c r="V197" s="2110"/>
      <c r="W197" s="1900"/>
      <c r="X197" s="1714"/>
      <c r="Y197" s="1919"/>
      <c r="Z197" s="1757"/>
      <c r="AA197" s="1755"/>
      <c r="AB197" s="1936"/>
      <c r="AC197" s="1919"/>
      <c r="AD197" s="1850"/>
      <c r="AE197" s="1881"/>
      <c r="AF197" s="1290"/>
      <c r="AG197" s="1900"/>
      <c r="AH197" s="1850"/>
      <c r="AI197" s="1919"/>
      <c r="AJ197" s="1936"/>
      <c r="AK197" s="1919"/>
      <c r="AL197" s="1936"/>
      <c r="AM197" s="1919"/>
      <c r="AN197" s="1850"/>
      <c r="AO197" s="1881"/>
      <c r="AP197" s="2080"/>
      <c r="AQ197" s="1919"/>
      <c r="AR197" s="1936"/>
      <c r="AS197" s="1919"/>
      <c r="AT197" s="1936"/>
      <c r="AU197" s="1919"/>
      <c r="AV197" s="1936"/>
      <c r="AW197" s="1919"/>
      <c r="AX197" s="1936"/>
      <c r="AY197" s="1881"/>
    </row>
    <row r="198" spans="1:51" ht="42" customHeight="1" x14ac:dyDescent="0.25">
      <c r="A198" s="1105" t="s">
        <v>185</v>
      </c>
      <c r="B198" s="1796"/>
      <c r="C198" s="1791"/>
      <c r="D198" s="1713"/>
      <c r="E198" s="1793"/>
      <c r="F198" s="1756"/>
      <c r="G198" s="1754"/>
      <c r="H198" s="1794"/>
      <c r="I198" s="1793"/>
      <c r="J198" s="1794"/>
      <c r="K198" s="1880"/>
      <c r="L198" s="1075"/>
      <c r="M198" s="1791"/>
      <c r="N198" s="1814"/>
      <c r="O198" s="1793"/>
      <c r="P198" s="1756"/>
      <c r="Q198" s="1754"/>
      <c r="R198" s="1794"/>
      <c r="S198" s="1793"/>
      <c r="T198" s="1814"/>
      <c r="U198" s="1880"/>
      <c r="V198" s="622" t="s">
        <v>569</v>
      </c>
      <c r="W198" s="1912" t="s">
        <v>553</v>
      </c>
      <c r="X198" s="144"/>
      <c r="Y198" s="1926"/>
      <c r="Z198" s="20"/>
      <c r="AA198" s="20"/>
      <c r="AB198" s="144"/>
      <c r="AC198" s="1926"/>
      <c r="AD198" s="145"/>
      <c r="AE198" s="2069"/>
      <c r="AF198" s="2111"/>
      <c r="AG198" s="2097"/>
      <c r="AH198" s="589"/>
      <c r="AI198" s="1793"/>
      <c r="AJ198" s="500"/>
      <c r="AK198" s="498"/>
      <c r="AL198" s="144"/>
      <c r="AM198" s="1926"/>
      <c r="AN198" s="145"/>
      <c r="AO198" s="2069"/>
      <c r="AP198" s="172"/>
      <c r="AQ198" s="1926"/>
      <c r="AR198" s="144"/>
      <c r="AS198" s="1926"/>
      <c r="AT198" s="144"/>
      <c r="AU198" s="1926"/>
      <c r="AV198" s="144"/>
      <c r="AW198" s="1926"/>
      <c r="AX198" s="144"/>
      <c r="AY198" s="2069"/>
    </row>
    <row r="199" spans="1:51" ht="42" customHeight="1" x14ac:dyDescent="0.25">
      <c r="A199" s="1321"/>
      <c r="B199" s="1796"/>
      <c r="C199" s="1791"/>
      <c r="D199" s="1714"/>
      <c r="E199" s="1919"/>
      <c r="F199" s="1757"/>
      <c r="G199" s="1755"/>
      <c r="H199" s="1850"/>
      <c r="I199" s="1919"/>
      <c r="J199" s="1850"/>
      <c r="K199" s="1881"/>
      <c r="L199" s="1265"/>
      <c r="M199" s="1900"/>
      <c r="N199" s="1814"/>
      <c r="O199" s="1793"/>
      <c r="P199" s="1757"/>
      <c r="Q199" s="1755"/>
      <c r="R199" s="1794"/>
      <c r="S199" s="1919"/>
      <c r="T199" s="1936"/>
      <c r="U199" s="1880"/>
      <c r="V199" s="1878" t="s">
        <v>47</v>
      </c>
      <c r="W199" s="1791"/>
      <c r="X199" s="1814"/>
      <c r="Y199" s="1793"/>
      <c r="Z199" s="20"/>
      <c r="AA199" s="20"/>
      <c r="AB199" s="1814"/>
      <c r="AC199" s="1793"/>
      <c r="AD199" s="1794"/>
      <c r="AE199" s="1880"/>
      <c r="AF199" s="2079"/>
      <c r="AG199" s="2098"/>
      <c r="AH199" s="1814"/>
      <c r="AI199" s="1793"/>
      <c r="AJ199" s="500"/>
      <c r="AK199" s="498"/>
      <c r="AL199" s="1814"/>
      <c r="AM199" s="1793"/>
      <c r="AN199" s="1794"/>
      <c r="AO199" s="1880"/>
      <c r="AP199" s="2079"/>
      <c r="AQ199" s="1793"/>
      <c r="AR199" s="1814"/>
      <c r="AS199" s="1793"/>
      <c r="AT199" s="1814"/>
      <c r="AU199" s="1793"/>
      <c r="AV199" s="1814"/>
      <c r="AW199" s="1793"/>
      <c r="AX199" s="1814"/>
      <c r="AY199" s="1880"/>
    </row>
    <row r="200" spans="1:51" ht="42" customHeight="1" x14ac:dyDescent="0.25">
      <c r="A200" s="1486" t="s">
        <v>186</v>
      </c>
      <c r="B200" s="1796"/>
      <c r="C200" s="1791"/>
      <c r="D200" s="627"/>
      <c r="E200" s="631"/>
      <c r="F200" s="631"/>
      <c r="G200" s="631"/>
      <c r="H200" s="627"/>
      <c r="I200" s="627"/>
      <c r="J200" s="627"/>
      <c r="K200" s="628"/>
      <c r="L200" s="631"/>
      <c r="M200" s="631"/>
      <c r="N200" s="1794"/>
      <c r="O200" s="1793"/>
      <c r="P200" s="147"/>
      <c r="Q200" s="625"/>
      <c r="R200" s="148"/>
      <c r="S200" s="149"/>
      <c r="T200" s="150"/>
      <c r="U200" s="151"/>
      <c r="V200" s="1878"/>
      <c r="W200" s="1791"/>
      <c r="X200" s="1814"/>
      <c r="Y200" s="1793"/>
      <c r="Z200" s="20"/>
      <c r="AA200" s="20"/>
      <c r="AB200" s="1814"/>
      <c r="AC200" s="1793"/>
      <c r="AD200" s="1794"/>
      <c r="AE200" s="1880"/>
      <c r="AF200" s="2079"/>
      <c r="AG200" s="2098"/>
      <c r="AH200" s="1814"/>
      <c r="AI200" s="1793"/>
      <c r="AJ200" s="500"/>
      <c r="AK200" s="498"/>
      <c r="AL200" s="1814"/>
      <c r="AM200" s="1793"/>
      <c r="AN200" s="1794"/>
      <c r="AO200" s="1880"/>
      <c r="AP200" s="2079"/>
      <c r="AQ200" s="1793"/>
      <c r="AR200" s="1814"/>
      <c r="AS200" s="1793"/>
      <c r="AT200" s="1814"/>
      <c r="AU200" s="1793"/>
      <c r="AV200" s="1814"/>
      <c r="AW200" s="1793"/>
      <c r="AX200" s="1814"/>
      <c r="AY200" s="1880"/>
    </row>
    <row r="201" spans="1:51" ht="42" customHeight="1" thickBot="1" x14ac:dyDescent="0.3">
      <c r="A201" s="1483"/>
      <c r="B201" s="1949"/>
      <c r="C201" s="1913"/>
      <c r="D201" s="620"/>
      <c r="E201" s="152"/>
      <c r="F201" s="152"/>
      <c r="G201" s="152"/>
      <c r="H201" s="620"/>
      <c r="I201" s="620"/>
      <c r="J201" s="620"/>
      <c r="K201" s="621"/>
      <c r="L201" s="152"/>
      <c r="M201" s="152"/>
      <c r="N201" s="2002"/>
      <c r="O201" s="1927"/>
      <c r="P201" s="153"/>
      <c r="Q201" s="626"/>
      <c r="R201" s="154"/>
      <c r="S201" s="155"/>
      <c r="T201" s="152"/>
      <c r="U201" s="156"/>
      <c r="V201" s="1997"/>
      <c r="W201" s="1913"/>
      <c r="X201" s="2016"/>
      <c r="Y201" s="1927"/>
      <c r="Z201" s="632"/>
      <c r="AA201" s="414"/>
      <c r="AB201" s="2016"/>
      <c r="AC201" s="1927"/>
      <c r="AD201" s="2002"/>
      <c r="AE201" s="2075"/>
      <c r="AF201" s="2112"/>
      <c r="AG201" s="2099"/>
      <c r="AH201" s="2016"/>
      <c r="AI201" s="1793"/>
      <c r="AJ201" s="632"/>
      <c r="AK201" s="708"/>
      <c r="AL201" s="2016"/>
      <c r="AM201" s="1927"/>
      <c r="AN201" s="2002"/>
      <c r="AO201" s="2075"/>
      <c r="AP201" s="2112"/>
      <c r="AQ201" s="1927"/>
      <c r="AR201" s="2016"/>
      <c r="AS201" s="1927"/>
      <c r="AT201" s="2016"/>
      <c r="AU201" s="1927"/>
      <c r="AV201" s="2016"/>
      <c r="AW201" s="1927"/>
      <c r="AX201" s="2016"/>
      <c r="AY201" s="2075"/>
    </row>
    <row r="202" spans="1:51" ht="29.25" customHeight="1" thickBot="1" x14ac:dyDescent="0.3">
      <c r="A202" s="226"/>
      <c r="AI202" s="226"/>
      <c r="AU202" s="10"/>
      <c r="AV202" s="10"/>
      <c r="AW202" s="10"/>
      <c r="AX202" s="10"/>
      <c r="AY202" s="10"/>
    </row>
    <row r="203" spans="1:51" ht="18.75" customHeight="1" thickBot="1" x14ac:dyDescent="0.3">
      <c r="A203" s="1033" t="s">
        <v>214</v>
      </c>
      <c r="B203" s="935"/>
      <c r="C203" s="1033" t="s">
        <v>215</v>
      </c>
      <c r="D203" s="934"/>
      <c r="E203" s="934"/>
      <c r="F203" s="934"/>
      <c r="G203" s="934"/>
      <c r="H203" s="934"/>
      <c r="I203" s="934"/>
      <c r="J203" s="934"/>
      <c r="K203" s="934"/>
      <c r="L203" s="934"/>
      <c r="M203" s="934"/>
      <c r="N203" s="934"/>
      <c r="O203" s="1033" t="s">
        <v>298</v>
      </c>
      <c r="P203" s="934"/>
      <c r="Q203" s="934"/>
      <c r="R203" s="935"/>
      <c r="S203" s="1033" t="s">
        <v>139</v>
      </c>
      <c r="T203" s="935"/>
      <c r="U203" s="1787" t="s">
        <v>163</v>
      </c>
      <c r="V203" s="1788"/>
      <c r="W203" s="1788"/>
      <c r="X203" s="1788"/>
      <c r="Y203" s="1788"/>
      <c r="Z203" s="1788"/>
      <c r="AA203" s="1788"/>
      <c r="AB203" s="1788"/>
      <c r="AC203" s="1788"/>
      <c r="AD203" s="1788"/>
      <c r="AE203" s="1788"/>
      <c r="AF203" s="1788"/>
      <c r="AG203" s="1788"/>
      <c r="AH203" s="1788"/>
      <c r="AI203" s="1788"/>
      <c r="AJ203" s="1788"/>
      <c r="AK203" s="1788"/>
      <c r="AL203" s="1788"/>
      <c r="AM203" s="1788"/>
      <c r="AN203" s="1788"/>
      <c r="AO203" s="1789"/>
      <c r="AQ203" s="1866" t="s">
        <v>1012</v>
      </c>
      <c r="AR203" s="1867"/>
      <c r="AS203" s="1867"/>
      <c r="AT203" s="1868"/>
      <c r="AU203" s="10"/>
      <c r="AV203" s="1873"/>
      <c r="AW203" s="1873"/>
      <c r="AX203" s="1873"/>
      <c r="AY203" s="1873"/>
    </row>
    <row r="204" spans="1:51" ht="15" customHeight="1" x14ac:dyDescent="0.25">
      <c r="A204" s="1848" t="str">
        <f>VLOOKUP(O204,ASIGNATURAS!$F$1:$L$1022, 3, FALSE)</f>
        <v>INSTALACIONES I</v>
      </c>
      <c r="B204" s="1849"/>
      <c r="C204" s="1818" t="str">
        <f>VLOOKUP(O204,ASIGNATURAS!$F$1:$L$1022, 4, FALSE)</f>
        <v>Instalaciones Industriales I</v>
      </c>
      <c r="D204" s="1818"/>
      <c r="E204" s="1818"/>
      <c r="F204" s="1818"/>
      <c r="G204" s="1818"/>
      <c r="H204" s="1818"/>
      <c r="I204" s="1818"/>
      <c r="J204" s="1818"/>
      <c r="K204" s="1818"/>
      <c r="L204" s="1818"/>
      <c r="M204" s="1818"/>
      <c r="N204" s="1818"/>
      <c r="O204" s="1819">
        <v>6332</v>
      </c>
      <c r="P204" s="1819"/>
      <c r="Q204" s="1819"/>
      <c r="R204" s="1819"/>
      <c r="S204" s="1819">
        <f>VLOOKUP(O204,ASIGNATURAS!$F$1:$L$1022, 5, FALSE)</f>
        <v>6</v>
      </c>
      <c r="T204" s="1819"/>
      <c r="U204" s="1770" t="str">
        <f>VLOOKUP(O204,ASIGNATURAS!$F$1:$L$1022, 6, FALSE)</f>
        <v>Luis Alfredo Suárez Vivar</v>
      </c>
      <c r="V204" s="1771"/>
      <c r="W204" s="1771"/>
      <c r="X204" s="1771"/>
      <c r="Y204" s="1771"/>
      <c r="Z204" s="1771"/>
      <c r="AA204" s="1771"/>
      <c r="AB204" s="1771"/>
      <c r="AC204" s="1771"/>
      <c r="AD204" s="1771"/>
      <c r="AE204" s="1771"/>
      <c r="AF204" s="1771"/>
      <c r="AG204" s="1771"/>
      <c r="AH204" s="1771"/>
      <c r="AI204" s="1771"/>
      <c r="AJ204" s="1771"/>
      <c r="AK204" s="1771"/>
      <c r="AL204" s="1771"/>
      <c r="AM204" s="1771"/>
      <c r="AN204" s="1771"/>
      <c r="AO204" s="1772"/>
      <c r="AQ204" s="1869"/>
      <c r="AR204" s="1870"/>
      <c r="AS204" s="1870"/>
      <c r="AT204" s="1871"/>
      <c r="AU204" s="10"/>
      <c r="AV204" s="1873"/>
      <c r="AW204" s="1873"/>
      <c r="AX204" s="1873"/>
      <c r="AY204" s="1873"/>
    </row>
    <row r="205" spans="1:51" ht="15" customHeight="1" x14ac:dyDescent="0.25">
      <c r="A205" s="1848" t="str">
        <f>VLOOKUP(O205,ASIGNATURAS!$F$1:$L$1022, 3, FALSE)</f>
        <v>DISEÑO MAQ. II</v>
      </c>
      <c r="B205" s="1849"/>
      <c r="C205" s="1795" t="str">
        <f>VLOOKUP(O205,ASIGNATURAS!$F$1:$L$1022, 4, FALSE)</f>
        <v>Diseño de Máquinas II</v>
      </c>
      <c r="D205" s="1795"/>
      <c r="E205" s="1795"/>
      <c r="F205" s="1795"/>
      <c r="G205" s="1795"/>
      <c r="H205" s="1795"/>
      <c r="I205" s="1795"/>
      <c r="J205" s="1795"/>
      <c r="K205" s="1795"/>
      <c r="L205" s="1795"/>
      <c r="M205" s="1795"/>
      <c r="N205" s="1795"/>
      <c r="O205" s="1765">
        <v>6333</v>
      </c>
      <c r="P205" s="1765"/>
      <c r="Q205" s="1765"/>
      <c r="R205" s="1765"/>
      <c r="S205" s="1765">
        <f>VLOOKUP(O205,ASIGNATURAS!$F$1:$L$1022, 5, FALSE)</f>
        <v>6</v>
      </c>
      <c r="T205" s="1765"/>
      <c r="U205" s="1770" t="str">
        <f>VLOOKUP(O205,ASIGNATURAS!$F$1:$L$1022, 6, FALSE)</f>
        <v>Alberto Martínez Martínez</v>
      </c>
      <c r="V205" s="1771"/>
      <c r="W205" s="1771"/>
      <c r="X205" s="1771"/>
      <c r="Y205" s="1771"/>
      <c r="Z205" s="1771"/>
      <c r="AA205" s="1771"/>
      <c r="AB205" s="1771"/>
      <c r="AC205" s="1771"/>
      <c r="AD205" s="1771"/>
      <c r="AE205" s="1771"/>
      <c r="AF205" s="1771"/>
      <c r="AG205" s="1771"/>
      <c r="AH205" s="1771"/>
      <c r="AI205" s="1771"/>
      <c r="AJ205" s="1771"/>
      <c r="AK205" s="1771"/>
      <c r="AL205" s="1771"/>
      <c r="AM205" s="1771"/>
      <c r="AN205" s="1771"/>
      <c r="AO205" s="1772"/>
      <c r="AQ205" s="1784" t="s">
        <v>1008</v>
      </c>
      <c r="AR205" s="1785"/>
      <c r="AS205" s="1785"/>
      <c r="AT205" s="1786"/>
      <c r="AU205" s="10"/>
      <c r="AV205" s="2070"/>
      <c r="AW205" s="2070"/>
      <c r="AX205" s="2070"/>
      <c r="AY205" s="2070"/>
    </row>
    <row r="206" spans="1:51" ht="15" customHeight="1" x14ac:dyDescent="0.25">
      <c r="A206" s="1848" t="str">
        <f>VLOOKUP(O206,ASIGNATURAS!$F$1:$L$1022, 3, FALSE)</f>
        <v>ESTRUCTURAS II</v>
      </c>
      <c r="B206" s="1849"/>
      <c r="C206" s="1795" t="str">
        <f>VLOOKUP(O206,ASIGNATURAS!$F$1:$L$1022, 4, FALSE)</f>
        <v>Estructuras II</v>
      </c>
      <c r="D206" s="1795"/>
      <c r="E206" s="1795"/>
      <c r="F206" s="1795"/>
      <c r="G206" s="1795"/>
      <c r="H206" s="1795"/>
      <c r="I206" s="1795"/>
      <c r="J206" s="1795"/>
      <c r="K206" s="1795"/>
      <c r="L206" s="1795"/>
      <c r="M206" s="1795"/>
      <c r="N206" s="1795"/>
      <c r="O206" s="1765">
        <v>6334</v>
      </c>
      <c r="P206" s="1765"/>
      <c r="Q206" s="1765"/>
      <c r="R206" s="1765"/>
      <c r="S206" s="1765">
        <f>VLOOKUP(O206,ASIGNATURAS!$F$1:$L$1022, 5, FALSE)</f>
        <v>6</v>
      </c>
      <c r="T206" s="1765"/>
      <c r="U206" s="1770" t="str">
        <f>VLOOKUP(O206,ASIGNATURAS!$F$1:$L$1022, 6, FALSE)</f>
        <v>José Antonio Martinez,Jesús Mínguez, Álvaro Mena</v>
      </c>
      <c r="V206" s="1771"/>
      <c r="W206" s="1771"/>
      <c r="X206" s="1771"/>
      <c r="Y206" s="1771"/>
      <c r="Z206" s="1771"/>
      <c r="AA206" s="1771"/>
      <c r="AB206" s="1771"/>
      <c r="AC206" s="1771"/>
      <c r="AD206" s="1771"/>
      <c r="AE206" s="1771"/>
      <c r="AF206" s="1771"/>
      <c r="AG206" s="1771"/>
      <c r="AH206" s="1771"/>
      <c r="AI206" s="1771"/>
      <c r="AJ206" s="1771"/>
      <c r="AK206" s="1771"/>
      <c r="AL206" s="1771"/>
      <c r="AM206" s="1771"/>
      <c r="AN206" s="1771"/>
      <c r="AO206" s="1772"/>
      <c r="AQ206" s="1779" t="s">
        <v>569</v>
      </c>
      <c r="AR206" s="1780"/>
      <c r="AS206" s="1780"/>
      <c r="AT206" s="1781"/>
      <c r="AU206" s="10"/>
      <c r="AV206" s="1874"/>
      <c r="AW206" s="1874"/>
      <c r="AX206" s="1874"/>
      <c r="AY206" s="1874"/>
    </row>
    <row r="207" spans="1:51" ht="15" customHeight="1" x14ac:dyDescent="0.25">
      <c r="A207" s="1848" t="str">
        <f>VLOOKUP(O207,ASIGNATURAS!$F$1:$L$1022, 3, FALSE)</f>
        <v>MAQ. TERMICAS</v>
      </c>
      <c r="B207" s="1849"/>
      <c r="C207" s="1795" t="str">
        <f>VLOOKUP(O207,ASIGNATURAS!$F$1:$L$1022, 4, FALSE)</f>
        <v>Máquinas Térmicas</v>
      </c>
      <c r="D207" s="1795"/>
      <c r="E207" s="1795"/>
      <c r="F207" s="1795"/>
      <c r="G207" s="1795"/>
      <c r="H207" s="1795"/>
      <c r="I207" s="1795"/>
      <c r="J207" s="1795"/>
      <c r="K207" s="1795"/>
      <c r="L207" s="1795"/>
      <c r="M207" s="1795"/>
      <c r="N207" s="1795"/>
      <c r="O207" s="1765">
        <v>6335</v>
      </c>
      <c r="P207" s="1765"/>
      <c r="Q207" s="1765"/>
      <c r="R207" s="1765"/>
      <c r="S207" s="1765">
        <f>VLOOKUP(O207,ASIGNATURAS!$F$1:$L$1022, 5, FALSE)</f>
        <v>6</v>
      </c>
      <c r="T207" s="1765"/>
      <c r="U207" s="1770" t="str">
        <f>VLOOKUP(O207,ASIGNATURAS!$F$1:$L$1022, 6, FALSE)</f>
        <v>Fernando Aguilar Romero</v>
      </c>
      <c r="V207" s="1771"/>
      <c r="W207" s="1771"/>
      <c r="X207" s="1771"/>
      <c r="Y207" s="1771"/>
      <c r="Z207" s="1771"/>
      <c r="AA207" s="1771"/>
      <c r="AB207" s="1771"/>
      <c r="AC207" s="1771"/>
      <c r="AD207" s="1771"/>
      <c r="AE207" s="1771"/>
      <c r="AF207" s="1771"/>
      <c r="AG207" s="1771"/>
      <c r="AH207" s="1771"/>
      <c r="AI207" s="1771"/>
      <c r="AJ207" s="1771"/>
      <c r="AK207" s="1771"/>
      <c r="AL207" s="1771"/>
      <c r="AM207" s="1771"/>
      <c r="AN207" s="1771"/>
      <c r="AO207" s="1772"/>
      <c r="AQ207" s="2028" t="s">
        <v>570</v>
      </c>
      <c r="AR207" s="2029"/>
      <c r="AS207" s="2029"/>
      <c r="AT207" s="2030"/>
      <c r="AU207" s="10"/>
      <c r="AV207" s="1874"/>
      <c r="AW207" s="1874"/>
      <c r="AX207" s="1874"/>
      <c r="AY207" s="1874"/>
    </row>
    <row r="208" spans="1:51" ht="15.75" customHeight="1" thickBot="1" x14ac:dyDescent="0.3">
      <c r="A208" s="1782" t="str">
        <f>VLOOKUP(O208,ASIGNATURAS!$F$1:$L$1022, 3, FALSE)</f>
        <v>OFICINA TECNICA</v>
      </c>
      <c r="B208" s="1783"/>
      <c r="C208" s="1831" t="str">
        <f>VLOOKUP(O208,ASIGNATURAS!$F$1:$L$1022, 4, FALSE)</f>
        <v>Oficina Técnica</v>
      </c>
      <c r="D208" s="1831"/>
      <c r="E208" s="1831"/>
      <c r="F208" s="1831"/>
      <c r="G208" s="1831"/>
      <c r="H208" s="1831"/>
      <c r="I208" s="1831"/>
      <c r="J208" s="1831"/>
      <c r="K208" s="1831"/>
      <c r="L208" s="1831"/>
      <c r="M208" s="1831"/>
      <c r="N208" s="1831"/>
      <c r="O208" s="1766">
        <v>6336</v>
      </c>
      <c r="P208" s="1766"/>
      <c r="Q208" s="1766"/>
      <c r="R208" s="1766"/>
      <c r="S208" s="1766">
        <f>VLOOKUP(O208,ASIGNATURAS!$F$1:$L$1022, 5, FALSE)</f>
        <v>6</v>
      </c>
      <c r="T208" s="1766"/>
      <c r="U208" s="1833" t="str">
        <f>VLOOKUP(O208,ASIGNATURAS!$F$1:$L$1022, 6, FALSE)</f>
        <v xml:space="preserve">Raúl Zamora </v>
      </c>
      <c r="V208" s="1834"/>
      <c r="W208" s="1834"/>
      <c r="X208" s="1834"/>
      <c r="Y208" s="1834"/>
      <c r="Z208" s="1834"/>
      <c r="AA208" s="1834"/>
      <c r="AB208" s="1834"/>
      <c r="AC208" s="1834"/>
      <c r="AD208" s="1834"/>
      <c r="AE208" s="1834"/>
      <c r="AF208" s="1834"/>
      <c r="AG208" s="1834"/>
      <c r="AH208" s="1834"/>
      <c r="AI208" s="1834"/>
      <c r="AJ208" s="1834"/>
      <c r="AK208" s="1834"/>
      <c r="AL208" s="1834"/>
      <c r="AM208" s="1834"/>
      <c r="AN208" s="1834"/>
      <c r="AO208" s="1835"/>
      <c r="AQ208" s="2028" t="s">
        <v>571</v>
      </c>
      <c r="AR208" s="2029"/>
      <c r="AS208" s="2029"/>
      <c r="AT208" s="2030"/>
      <c r="AU208" s="10"/>
      <c r="AV208" s="1170"/>
      <c r="AW208" s="1170"/>
      <c r="AX208" s="1170"/>
      <c r="AY208" s="1170"/>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845" t="s">
        <v>572</v>
      </c>
      <c r="AR209" s="1846"/>
      <c r="AS209" s="1846"/>
      <c r="AT209" s="1847"/>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1135" t="str">
        <f>VLOOKUP(A215,ASIGNATURAS!$A$2:$D$151, 3, FALSE)</f>
        <v>4º Grado en Ingeniería Mecánica</v>
      </c>
      <c r="B212" s="1136"/>
      <c r="C212" s="1136"/>
      <c r="D212" s="1136"/>
      <c r="E212" s="1136"/>
      <c r="F212" s="1136"/>
      <c r="G212" s="1136"/>
      <c r="H212" s="1136"/>
      <c r="I212" s="1136"/>
      <c r="J212" s="1136"/>
      <c r="K212" s="1136"/>
      <c r="L212" s="1136"/>
      <c r="M212" s="1136"/>
      <c r="N212" s="1136"/>
      <c r="O212" s="1136"/>
      <c r="P212" s="1136"/>
      <c r="Q212" s="1136"/>
      <c r="R212" s="1136"/>
      <c r="S212" s="1136"/>
      <c r="T212" s="1136"/>
      <c r="U212" s="1136"/>
      <c r="V212" s="1136"/>
      <c r="W212" s="1136"/>
      <c r="X212" s="1136"/>
      <c r="Y212" s="1136"/>
      <c r="Z212" s="1136"/>
      <c r="AA212" s="1136"/>
      <c r="AB212" s="1136"/>
      <c r="AC212" s="1136"/>
      <c r="AD212" s="1136"/>
      <c r="AE212" s="1136"/>
      <c r="AF212" s="1136"/>
      <c r="AG212" s="1136"/>
      <c r="AH212" s="1136"/>
      <c r="AI212" s="1136"/>
      <c r="AJ212" s="1136"/>
      <c r="AK212" s="1136"/>
      <c r="AL212" s="1136"/>
      <c r="AM212" s="1136"/>
      <c r="AN212" s="1136"/>
      <c r="AO212" s="1137"/>
      <c r="AP212" s="975" t="str">
        <f>Aulas!G5</f>
        <v>Curso 2024-2025</v>
      </c>
      <c r="AQ212" s="976"/>
      <c r="AR212" s="976"/>
      <c r="AS212" s="976"/>
      <c r="AT212" s="976"/>
      <c r="AU212" s="976"/>
      <c r="AV212" s="976"/>
      <c r="AW212" s="976"/>
      <c r="AX212" s="976"/>
      <c r="AY212" s="977"/>
      <c r="BA212"/>
      <c r="BB212"/>
      <c r="BC212"/>
      <c r="BD212"/>
      <c r="BE212"/>
      <c r="BF212"/>
      <c r="BG212"/>
      <c r="BH212"/>
      <c r="BI212"/>
    </row>
    <row r="213" spans="1:397" s="8" customFormat="1" ht="23.25" customHeight="1" thickBot="1" x14ac:dyDescent="0.45">
      <c r="A213" s="1132" t="str">
        <f>VLOOKUP(A215,ASIGNATURAS!$A$2:$D$151, 2, FALSE)</f>
        <v>Semestre temporal: 2º        (8º Semestre Académico)</v>
      </c>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3"/>
      <c r="W213" s="1133"/>
      <c r="X213" s="1133"/>
      <c r="Y213" s="1133"/>
      <c r="Z213" s="1133"/>
      <c r="AA213" s="1133"/>
      <c r="AB213" s="1133"/>
      <c r="AC213" s="1133"/>
      <c r="AD213" s="1133"/>
      <c r="AE213" s="1133"/>
      <c r="AF213" s="1133"/>
      <c r="AG213" s="1133"/>
      <c r="AH213" s="1133"/>
      <c r="AI213" s="1133"/>
      <c r="AJ213" s="1133"/>
      <c r="AK213" s="1133"/>
      <c r="AL213" s="1133"/>
      <c r="AM213" s="1133"/>
      <c r="AN213" s="1133"/>
      <c r="AO213" s="1134"/>
      <c r="AP213" s="1798" t="s">
        <v>1225</v>
      </c>
      <c r="AQ213" s="1013"/>
      <c r="AR213" s="1013"/>
      <c r="AS213" s="1013"/>
      <c r="AT213" s="1013"/>
      <c r="AU213" s="1013"/>
      <c r="AV213" s="1013"/>
      <c r="AW213" s="1013"/>
      <c r="AX213" s="1013"/>
      <c r="AY213" s="1014"/>
      <c r="BA213"/>
      <c r="BB213"/>
      <c r="BC213"/>
      <c r="BD213"/>
      <c r="BE213"/>
      <c r="BF213"/>
      <c r="BG213"/>
      <c r="BH213"/>
      <c r="BI213"/>
    </row>
    <row r="214" spans="1:397" s="8" customFormat="1" ht="23.25" customHeight="1" thickBot="1" x14ac:dyDescent="0.45">
      <c r="A214" s="1132" t="s">
        <v>177</v>
      </c>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3"/>
      <c r="W214" s="1133"/>
      <c r="X214" s="1133"/>
      <c r="Y214" s="1133"/>
      <c r="Z214" s="1133"/>
      <c r="AA214" s="1133"/>
      <c r="AB214" s="1133"/>
      <c r="AC214" s="1133"/>
      <c r="AD214" s="1133"/>
      <c r="AE214" s="1133"/>
      <c r="AF214" s="1133"/>
      <c r="AG214" s="1133"/>
      <c r="AH214" s="1133"/>
      <c r="AI214" s="1133"/>
      <c r="AJ214" s="1133"/>
      <c r="AK214" s="1133"/>
      <c r="AL214" s="1133"/>
      <c r="AM214" s="1133"/>
      <c r="AN214" s="1133"/>
      <c r="AO214" s="1134"/>
      <c r="AP214" s="1799"/>
      <c r="AQ214" s="1015"/>
      <c r="AR214" s="1015"/>
      <c r="AS214" s="1015"/>
      <c r="AT214" s="1015"/>
      <c r="AU214" s="1015"/>
      <c r="AV214" s="1015"/>
      <c r="AW214" s="1015"/>
      <c r="AX214" s="1015"/>
      <c r="AY214" s="1016"/>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1064" t="s">
        <v>2</v>
      </c>
      <c r="C216" s="1065"/>
      <c r="D216" s="1065"/>
      <c r="E216" s="1065"/>
      <c r="F216" s="1065"/>
      <c r="G216" s="1065"/>
      <c r="H216" s="1065"/>
      <c r="I216" s="1065"/>
      <c r="J216" s="1065"/>
      <c r="K216" s="1066"/>
      <c r="L216" s="975" t="s">
        <v>3</v>
      </c>
      <c r="M216" s="976"/>
      <c r="N216" s="976"/>
      <c r="O216" s="976"/>
      <c r="P216" s="976"/>
      <c r="Q216" s="976"/>
      <c r="R216" s="976"/>
      <c r="S216" s="976"/>
      <c r="T216" s="976"/>
      <c r="U216" s="977"/>
      <c r="V216" s="975" t="s">
        <v>135</v>
      </c>
      <c r="W216" s="976"/>
      <c r="X216" s="976"/>
      <c r="Y216" s="976"/>
      <c r="Z216" s="976"/>
      <c r="AA216" s="976"/>
      <c r="AB216" s="976"/>
      <c r="AC216" s="976"/>
      <c r="AD216" s="976"/>
      <c r="AE216" s="977"/>
      <c r="AF216" s="975" t="s">
        <v>4</v>
      </c>
      <c r="AG216" s="976"/>
      <c r="AH216" s="976"/>
      <c r="AI216" s="976"/>
      <c r="AJ216" s="976"/>
      <c r="AK216" s="976"/>
      <c r="AL216" s="976"/>
      <c r="AM216" s="976"/>
      <c r="AN216" s="976"/>
      <c r="AO216" s="977"/>
      <c r="AP216" s="975" t="s">
        <v>5</v>
      </c>
      <c r="AQ216" s="976"/>
      <c r="AR216" s="976"/>
      <c r="AS216" s="976"/>
      <c r="AT216" s="976"/>
      <c r="AU216" s="976"/>
      <c r="AV216" s="976"/>
      <c r="AW216" s="976"/>
      <c r="AX216" s="976"/>
      <c r="AY216" s="977"/>
      <c r="BA216"/>
      <c r="BB216"/>
      <c r="BC216"/>
      <c r="BD216"/>
      <c r="BE216"/>
      <c r="BF216"/>
      <c r="BG216"/>
      <c r="BH216"/>
      <c r="BI216"/>
    </row>
    <row r="217" spans="1:397" ht="42" customHeight="1" x14ac:dyDescent="0.25">
      <c r="A217" s="1375" t="s">
        <v>1091</v>
      </c>
      <c r="B217" s="2059"/>
      <c r="C217" s="2060"/>
      <c r="D217" s="2060"/>
      <c r="E217" s="2060"/>
      <c r="F217" s="2060"/>
      <c r="G217" s="2060"/>
      <c r="H217" s="2060"/>
      <c r="I217" s="2060"/>
      <c r="J217" s="2060"/>
      <c r="K217" s="2061"/>
      <c r="L217" s="2038"/>
      <c r="M217" s="2039"/>
      <c r="N217" s="2039"/>
      <c r="O217" s="2039"/>
      <c r="P217" s="2039"/>
      <c r="Q217" s="2039"/>
      <c r="R217" s="2039"/>
      <c r="S217" s="2039"/>
      <c r="T217" s="2036"/>
      <c r="U217" s="2037"/>
      <c r="V217" s="2033"/>
      <c r="W217" s="2034"/>
      <c r="X217" s="2034"/>
      <c r="Y217" s="2034"/>
      <c r="Z217" s="2034"/>
      <c r="AA217" s="2034"/>
      <c r="AB217" s="2034"/>
      <c r="AC217" s="2034"/>
      <c r="AD217" s="2034"/>
      <c r="AE217" s="2035"/>
      <c r="AF217" s="2050" t="s">
        <v>45</v>
      </c>
      <c r="AG217" s="2051"/>
      <c r="AH217" s="2051"/>
      <c r="AI217" s="2051"/>
      <c r="AJ217" s="2051"/>
      <c r="AK217" s="2051"/>
      <c r="AL217" s="2051"/>
      <c r="AM217" s="2051"/>
      <c r="AN217" s="2051"/>
      <c r="AO217" s="2052">
        <v>1</v>
      </c>
      <c r="AP217" s="2031"/>
      <c r="AQ217" s="1764"/>
      <c r="AR217" s="1764"/>
      <c r="AS217" s="1764"/>
      <c r="AT217" s="1764"/>
      <c r="AU217" s="1764"/>
      <c r="AV217" s="1764"/>
      <c r="AW217" s="1764"/>
      <c r="AX217" s="1764"/>
      <c r="AY217" s="2032"/>
    </row>
    <row r="218" spans="1:397" ht="42" customHeight="1" x14ac:dyDescent="0.25">
      <c r="A218" s="1105"/>
      <c r="B218" s="2053"/>
      <c r="C218" s="2054"/>
      <c r="D218" s="2054"/>
      <c r="E218" s="2054"/>
      <c r="F218" s="2054"/>
      <c r="G218" s="2054"/>
      <c r="H218" s="2054"/>
      <c r="I218" s="2054"/>
      <c r="J218" s="2054"/>
      <c r="K218" s="2055"/>
      <c r="L218" s="2053"/>
      <c r="M218" s="2054"/>
      <c r="N218" s="2054"/>
      <c r="O218" s="2054"/>
      <c r="P218" s="2054"/>
      <c r="Q218" s="2054"/>
      <c r="R218" s="2054"/>
      <c r="S218" s="2054"/>
      <c r="T218" s="2054"/>
      <c r="U218" s="2055"/>
      <c r="V218" s="2053"/>
      <c r="W218" s="2054"/>
      <c r="X218" s="2054"/>
      <c r="Y218" s="2054"/>
      <c r="Z218" s="2054"/>
      <c r="AA218" s="2054"/>
      <c r="AB218" s="2054"/>
      <c r="AC218" s="2054"/>
      <c r="AD218" s="2054"/>
      <c r="AE218" s="2055"/>
      <c r="AF218" s="1588"/>
      <c r="AG218" s="1589"/>
      <c r="AH218" s="1589"/>
      <c r="AI218" s="1589"/>
      <c r="AJ218" s="1589"/>
      <c r="AK218" s="1589"/>
      <c r="AL218" s="1589"/>
      <c r="AM218" s="1589"/>
      <c r="AN218" s="1589"/>
      <c r="AO218" s="1590"/>
      <c r="AP218" s="2062"/>
      <c r="AQ218" s="2063"/>
      <c r="AR218" s="2063"/>
      <c r="AS218" s="2063"/>
      <c r="AT218" s="2063"/>
      <c r="AU218" s="2063"/>
      <c r="AV218" s="2063"/>
      <c r="AW218" s="2063"/>
      <c r="AX218" s="2063"/>
      <c r="AY218" s="2064"/>
    </row>
    <row r="219" spans="1:397" ht="42" customHeight="1" thickBot="1" x14ac:dyDescent="0.3">
      <c r="A219" s="1100" t="s">
        <v>183</v>
      </c>
      <c r="B219" s="2031"/>
      <c r="C219" s="1764"/>
      <c r="D219" s="1764"/>
      <c r="E219" s="1764"/>
      <c r="F219" s="1764"/>
      <c r="G219" s="1764"/>
      <c r="H219" s="1764"/>
      <c r="I219" s="1764"/>
      <c r="J219" s="1764"/>
      <c r="K219" s="2032"/>
      <c r="L219" s="2038"/>
      <c r="M219" s="2039"/>
      <c r="N219" s="2039"/>
      <c r="O219" s="2039"/>
      <c r="P219" s="2039"/>
      <c r="Q219" s="2039"/>
      <c r="R219" s="2039"/>
      <c r="S219" s="2039"/>
      <c r="T219" s="2036"/>
      <c r="U219" s="2037"/>
      <c r="V219" s="2033"/>
      <c r="W219" s="2034"/>
      <c r="X219" s="2034"/>
      <c r="Y219" s="2034"/>
      <c r="Z219" s="2034"/>
      <c r="AA219" s="2034"/>
      <c r="AB219" s="2034"/>
      <c r="AC219" s="2034"/>
      <c r="AD219" s="2034"/>
      <c r="AE219" s="2035"/>
      <c r="AF219" s="2050" t="s">
        <v>45</v>
      </c>
      <c r="AG219" s="2051"/>
      <c r="AH219" s="2051"/>
      <c r="AI219" s="2051"/>
      <c r="AJ219" s="2051"/>
      <c r="AK219" s="2051"/>
      <c r="AL219" s="2051"/>
      <c r="AM219" s="2051"/>
      <c r="AN219" s="2051"/>
      <c r="AO219" s="2052">
        <v>1</v>
      </c>
      <c r="AP219" s="2026"/>
      <c r="AQ219" s="2027"/>
      <c r="AR219" s="2027"/>
      <c r="AS219" s="2027"/>
      <c r="AT219" s="2027"/>
      <c r="AU219" s="2027"/>
      <c r="AV219" s="2027"/>
      <c r="AW219" s="2027"/>
      <c r="AX219" s="2067"/>
      <c r="AY219" s="2068"/>
    </row>
    <row r="220" spans="1:397" ht="42" customHeight="1" x14ac:dyDescent="0.25">
      <c r="A220" s="1105"/>
      <c r="B220" s="2062"/>
      <c r="C220" s="2063"/>
      <c r="D220" s="2063"/>
      <c r="E220" s="2063"/>
      <c r="F220" s="2063"/>
      <c r="G220" s="2063"/>
      <c r="H220" s="2063"/>
      <c r="I220" s="2063"/>
      <c r="J220" s="2063"/>
      <c r="K220" s="2064"/>
      <c r="L220" s="2053"/>
      <c r="M220" s="2054"/>
      <c r="N220" s="2054"/>
      <c r="O220" s="2054"/>
      <c r="P220" s="2054"/>
      <c r="Q220" s="2054"/>
      <c r="R220" s="2054"/>
      <c r="S220" s="2054"/>
      <c r="T220" s="2054"/>
      <c r="U220" s="2055"/>
      <c r="V220" s="2053"/>
      <c r="W220" s="2054"/>
      <c r="X220" s="2054"/>
      <c r="Y220" s="2054"/>
      <c r="Z220" s="2054"/>
      <c r="AA220" s="2054"/>
      <c r="AB220" s="2054"/>
      <c r="AC220" s="2054"/>
      <c r="AD220" s="2054"/>
      <c r="AE220" s="2055"/>
      <c r="AF220" s="1588"/>
      <c r="AG220" s="1589"/>
      <c r="AH220" s="1589"/>
      <c r="AI220" s="1589"/>
      <c r="AJ220" s="1589"/>
      <c r="AK220" s="1589"/>
      <c r="AL220" s="1589"/>
      <c r="AM220" s="1589"/>
      <c r="AN220" s="1589"/>
      <c r="AO220" s="1590"/>
      <c r="AP220" s="2062"/>
      <c r="AQ220" s="2063"/>
      <c r="AR220" s="2063"/>
      <c r="AS220" s="2063"/>
      <c r="AT220" s="2063"/>
      <c r="AU220" s="2063"/>
      <c r="AV220" s="2063"/>
      <c r="AW220" s="2063"/>
      <c r="AX220" s="2063"/>
      <c r="AY220" s="2064"/>
      <c r="NZ220" s="139"/>
      <c r="OA220" s="1790"/>
      <c r="OB220" s="140"/>
      <c r="OC220" s="1790"/>
      <c r="OD220" s="141"/>
      <c r="OE220" s="1790"/>
      <c r="OF220" s="212"/>
      <c r="OG220" s="1792"/>
    </row>
    <row r="221" spans="1:397" ht="42" customHeight="1" x14ac:dyDescent="0.25">
      <c r="A221" s="1321" t="s">
        <v>182</v>
      </c>
      <c r="B221" s="2050" t="s">
        <v>243</v>
      </c>
      <c r="C221" s="2051"/>
      <c r="D221" s="2051"/>
      <c r="E221" s="2051"/>
      <c r="F221" s="2051"/>
      <c r="G221" s="2051"/>
      <c r="H221" s="2051"/>
      <c r="I221" s="2051"/>
      <c r="J221" s="2051"/>
      <c r="K221" s="2052">
        <v>1</v>
      </c>
      <c r="L221" s="2046" t="s">
        <v>1312</v>
      </c>
      <c r="M221" s="2047"/>
      <c r="N221" s="2047"/>
      <c r="O221" s="2047"/>
      <c r="P221" s="2047"/>
      <c r="Q221" s="2047"/>
      <c r="R221" s="2047"/>
      <c r="S221" s="2047"/>
      <c r="T221" s="2048" t="s">
        <v>569</v>
      </c>
      <c r="U221" s="2049"/>
      <c r="V221" s="2095" t="s">
        <v>243</v>
      </c>
      <c r="W221" s="2096"/>
      <c r="X221" s="2096"/>
      <c r="Y221" s="2096"/>
      <c r="Z221" s="2096"/>
      <c r="AA221" s="2096"/>
      <c r="AB221" s="2096"/>
      <c r="AC221" s="2096"/>
      <c r="AD221" s="2048" t="s">
        <v>569</v>
      </c>
      <c r="AE221" s="2049"/>
      <c r="AF221" s="2046" t="s">
        <v>46</v>
      </c>
      <c r="AG221" s="2047"/>
      <c r="AH221" s="2047"/>
      <c r="AI221" s="2047"/>
      <c r="AJ221" s="2047"/>
      <c r="AK221" s="2047"/>
      <c r="AL221" s="2047"/>
      <c r="AM221" s="2047"/>
      <c r="AN221" s="2073" t="s">
        <v>569</v>
      </c>
      <c r="AO221" s="2074"/>
      <c r="AP221" s="2065"/>
      <c r="AQ221" s="2066"/>
      <c r="AR221" s="2066"/>
      <c r="AS221" s="2066"/>
      <c r="AT221" s="2066"/>
      <c r="AU221" s="2066"/>
      <c r="AV221" s="2066"/>
      <c r="AW221" s="2066"/>
      <c r="AX221" s="2067"/>
      <c r="AY221" s="2068"/>
      <c r="NZ221" s="1796"/>
      <c r="OA221" s="1791"/>
      <c r="OB221" s="1797"/>
      <c r="OC221" s="1791"/>
      <c r="OD221" s="1797"/>
      <c r="OE221" s="1791"/>
      <c r="OF221" s="1794"/>
      <c r="OG221" s="1793"/>
    </row>
    <row r="222" spans="1:397" ht="42" customHeight="1" x14ac:dyDescent="0.25">
      <c r="A222" s="1321"/>
      <c r="B222" s="1588" t="s">
        <v>155</v>
      </c>
      <c r="C222" s="1589"/>
      <c r="D222" s="1589"/>
      <c r="E222" s="1589"/>
      <c r="F222" s="1589"/>
      <c r="G222" s="1589"/>
      <c r="H222" s="1589"/>
      <c r="I222" s="1589"/>
      <c r="J222" s="1589"/>
      <c r="K222" s="1590"/>
      <c r="L222" s="2056" t="s">
        <v>142</v>
      </c>
      <c r="M222" s="2057"/>
      <c r="N222" s="2057"/>
      <c r="O222" s="2057"/>
      <c r="P222" s="2057"/>
      <c r="Q222" s="2057"/>
      <c r="R222" s="2057"/>
      <c r="S222" s="2057"/>
      <c r="T222" s="2057"/>
      <c r="U222" s="2058"/>
      <c r="V222" s="2056" t="s">
        <v>477</v>
      </c>
      <c r="W222" s="2057"/>
      <c r="X222" s="2057"/>
      <c r="Y222" s="2057"/>
      <c r="Z222" s="2057"/>
      <c r="AA222" s="2057"/>
      <c r="AB222" s="2057"/>
      <c r="AC222" s="2057"/>
      <c r="AD222" s="2057"/>
      <c r="AE222" s="2057"/>
      <c r="AF222" s="2056" t="s">
        <v>156</v>
      </c>
      <c r="AG222" s="2057"/>
      <c r="AH222" s="2057"/>
      <c r="AI222" s="2057"/>
      <c r="AJ222" s="2057"/>
      <c r="AK222" s="2057"/>
      <c r="AL222" s="2057"/>
      <c r="AM222" s="2057"/>
      <c r="AN222" s="2057"/>
      <c r="AO222" s="2058"/>
      <c r="AP222" s="2062"/>
      <c r="AQ222" s="2063"/>
      <c r="AR222" s="2063"/>
      <c r="AS222" s="2063"/>
      <c r="AT222" s="2063"/>
      <c r="AU222" s="2063"/>
      <c r="AV222" s="2063"/>
      <c r="AW222" s="2063"/>
      <c r="AX222" s="2063"/>
      <c r="AY222" s="2064"/>
      <c r="NZ222" s="1796"/>
      <c r="OA222" s="1791"/>
      <c r="OB222" s="1797"/>
      <c r="OC222" s="1791"/>
      <c r="OD222" s="1797"/>
      <c r="OE222" s="1791"/>
      <c r="OF222" s="1794"/>
      <c r="OG222" s="1793"/>
    </row>
    <row r="223" spans="1:397" ht="42" customHeight="1" x14ac:dyDescent="0.25">
      <c r="A223" s="1105" t="s">
        <v>184</v>
      </c>
      <c r="B223" s="2050" t="s">
        <v>243</v>
      </c>
      <c r="C223" s="2051"/>
      <c r="D223" s="2051"/>
      <c r="E223" s="2051"/>
      <c r="F223" s="2051"/>
      <c r="G223" s="2051"/>
      <c r="H223" s="2051"/>
      <c r="I223" s="2051"/>
      <c r="J223" s="2051"/>
      <c r="K223" s="2052">
        <v>1</v>
      </c>
      <c r="L223" s="2046" t="s">
        <v>1312</v>
      </c>
      <c r="M223" s="2047"/>
      <c r="N223" s="2047"/>
      <c r="O223" s="2047"/>
      <c r="P223" s="2047"/>
      <c r="Q223" s="2047"/>
      <c r="R223" s="2047"/>
      <c r="S223" s="2047"/>
      <c r="T223" s="2048" t="s">
        <v>569</v>
      </c>
      <c r="U223" s="2049"/>
      <c r="V223" s="2095" t="s">
        <v>243</v>
      </c>
      <c r="W223" s="2096"/>
      <c r="X223" s="2096"/>
      <c r="Y223" s="2096"/>
      <c r="Z223" s="2096"/>
      <c r="AA223" s="2096"/>
      <c r="AB223" s="2096"/>
      <c r="AC223" s="2096"/>
      <c r="AD223" s="2048" t="s">
        <v>569</v>
      </c>
      <c r="AE223" s="2049"/>
      <c r="AF223" s="2046" t="s">
        <v>46</v>
      </c>
      <c r="AG223" s="2047"/>
      <c r="AH223" s="2047"/>
      <c r="AI223" s="2047"/>
      <c r="AJ223" s="2047"/>
      <c r="AK223" s="2047"/>
      <c r="AL223" s="2047"/>
      <c r="AM223" s="2047"/>
      <c r="AN223" s="2073" t="s">
        <v>569</v>
      </c>
      <c r="AO223" s="2074"/>
      <c r="AP223" s="2100"/>
      <c r="AQ223" s="2101"/>
      <c r="AR223" s="2101"/>
      <c r="AS223" s="2101"/>
      <c r="AT223" s="2101"/>
      <c r="AU223" s="2101"/>
      <c r="AV223" s="2101"/>
      <c r="AW223" s="2101"/>
      <c r="AX223" s="2066"/>
      <c r="AY223" s="2192"/>
      <c r="NZ223" s="1879"/>
      <c r="OA223" s="1900"/>
      <c r="OB223" s="1893"/>
      <c r="OC223" s="1900"/>
      <c r="OD223" s="1893"/>
      <c r="OE223" s="1900"/>
      <c r="OF223" s="1850"/>
      <c r="OG223" s="1919"/>
    </row>
    <row r="224" spans="1:397" ht="42" customHeight="1" x14ac:dyDescent="0.25">
      <c r="A224" s="1321"/>
      <c r="B224" s="1588" t="s">
        <v>155</v>
      </c>
      <c r="C224" s="1589"/>
      <c r="D224" s="1589"/>
      <c r="E224" s="1589"/>
      <c r="F224" s="1589"/>
      <c r="G224" s="1589"/>
      <c r="H224" s="1589"/>
      <c r="I224" s="1589"/>
      <c r="J224" s="1589"/>
      <c r="K224" s="1590"/>
      <c r="L224" s="2056" t="s">
        <v>142</v>
      </c>
      <c r="M224" s="2057"/>
      <c r="N224" s="2057"/>
      <c r="O224" s="2057"/>
      <c r="P224" s="2057"/>
      <c r="Q224" s="2057"/>
      <c r="R224" s="2057"/>
      <c r="S224" s="2057"/>
      <c r="T224" s="2057"/>
      <c r="U224" s="2058"/>
      <c r="V224" s="2056" t="s">
        <v>477</v>
      </c>
      <c r="W224" s="2057"/>
      <c r="X224" s="2057"/>
      <c r="Y224" s="2057"/>
      <c r="Z224" s="2057"/>
      <c r="AA224" s="2057"/>
      <c r="AB224" s="2057"/>
      <c r="AC224" s="2057"/>
      <c r="AD224" s="2057"/>
      <c r="AE224" s="2057"/>
      <c r="AF224" s="2056" t="s">
        <v>156</v>
      </c>
      <c r="AG224" s="2057"/>
      <c r="AH224" s="2057"/>
      <c r="AI224" s="2057"/>
      <c r="AJ224" s="2057"/>
      <c r="AK224" s="2057"/>
      <c r="AL224" s="2057"/>
      <c r="AM224" s="2057"/>
      <c r="AN224" s="2057"/>
      <c r="AO224" s="2058"/>
      <c r="AP224" s="2062"/>
      <c r="AQ224" s="2063"/>
      <c r="AR224" s="2063"/>
      <c r="AS224" s="2063"/>
      <c r="AT224" s="2063"/>
      <c r="AU224" s="2063"/>
      <c r="AV224" s="2063"/>
      <c r="AW224" s="2063"/>
      <c r="AX224" s="2063"/>
      <c r="AY224" s="2064"/>
    </row>
    <row r="225" spans="1:52" ht="42" customHeight="1" x14ac:dyDescent="0.25">
      <c r="A225" s="1105" t="s">
        <v>185</v>
      </c>
      <c r="B225" s="2046" t="s">
        <v>44</v>
      </c>
      <c r="C225" s="2047"/>
      <c r="D225" s="2047"/>
      <c r="E225" s="2047"/>
      <c r="F225" s="2047"/>
      <c r="G225" s="2047"/>
      <c r="H225" s="2047"/>
      <c r="I225" s="2047"/>
      <c r="J225" s="2048" t="s">
        <v>569</v>
      </c>
      <c r="K225" s="2049"/>
      <c r="L225" s="2050" t="s">
        <v>46</v>
      </c>
      <c r="M225" s="2051"/>
      <c r="N225" s="2051"/>
      <c r="O225" s="2051"/>
      <c r="P225" s="2051"/>
      <c r="Q225" s="2051"/>
      <c r="R225" s="2051"/>
      <c r="S225" s="2051"/>
      <c r="T225" s="2051"/>
      <c r="U225" s="2052">
        <v>1</v>
      </c>
      <c r="V225" s="2050" t="s">
        <v>1312</v>
      </c>
      <c r="W225" s="2051"/>
      <c r="X225" s="2051"/>
      <c r="Y225" s="2051"/>
      <c r="Z225" s="2051"/>
      <c r="AA225" s="2051"/>
      <c r="AB225" s="2051"/>
      <c r="AC225" s="2051"/>
      <c r="AD225" s="2051"/>
      <c r="AE225" s="2052">
        <v>1</v>
      </c>
      <c r="AF225" s="2050" t="s">
        <v>44</v>
      </c>
      <c r="AG225" s="2051"/>
      <c r="AH225" s="2051"/>
      <c r="AI225" s="2051"/>
      <c r="AJ225" s="2051"/>
      <c r="AK225" s="2051"/>
      <c r="AL225" s="2051"/>
      <c r="AM225" s="2051"/>
      <c r="AN225" s="2051"/>
      <c r="AO225" s="2052">
        <v>1</v>
      </c>
      <c r="AP225" s="2046" t="s">
        <v>45</v>
      </c>
      <c r="AQ225" s="2047"/>
      <c r="AR225" s="2047"/>
      <c r="AS225" s="2047"/>
      <c r="AT225" s="2047"/>
      <c r="AU225" s="2047"/>
      <c r="AV225" s="2047"/>
      <c r="AW225" s="2047"/>
      <c r="AX225" s="2073" t="s">
        <v>569</v>
      </c>
      <c r="AY225" s="2074"/>
      <c r="AZ225" s="33"/>
    </row>
    <row r="226" spans="1:52" ht="42" customHeight="1" x14ac:dyDescent="0.25">
      <c r="A226" s="1321"/>
      <c r="B226" s="2056"/>
      <c r="C226" s="2057"/>
      <c r="D226" s="2057"/>
      <c r="E226" s="2057"/>
      <c r="F226" s="2057"/>
      <c r="G226" s="2057"/>
      <c r="H226" s="2057"/>
      <c r="I226" s="2057"/>
      <c r="J226" s="2057"/>
      <c r="K226" s="2058"/>
      <c r="L226" s="1588" t="s">
        <v>156</v>
      </c>
      <c r="M226" s="1589"/>
      <c r="N226" s="1589"/>
      <c r="O226" s="1589"/>
      <c r="P226" s="1589"/>
      <c r="Q226" s="1589"/>
      <c r="R226" s="1589"/>
      <c r="S226" s="1589"/>
      <c r="T226" s="1589"/>
      <c r="U226" s="1590"/>
      <c r="V226" s="1588" t="s">
        <v>142</v>
      </c>
      <c r="W226" s="1589"/>
      <c r="X226" s="1589"/>
      <c r="Y226" s="1589"/>
      <c r="Z226" s="1589"/>
      <c r="AA226" s="1589"/>
      <c r="AB226" s="1589"/>
      <c r="AC226" s="1589"/>
      <c r="AD226" s="1589"/>
      <c r="AE226" s="1590"/>
      <c r="AF226" s="1588"/>
      <c r="AG226" s="1589"/>
      <c r="AH226" s="1589"/>
      <c r="AI226" s="1589"/>
      <c r="AJ226" s="1589"/>
      <c r="AK226" s="1589"/>
      <c r="AL226" s="1589"/>
      <c r="AM226" s="1589"/>
      <c r="AN226" s="1589"/>
      <c r="AO226" s="1590"/>
      <c r="AP226" s="2056"/>
      <c r="AQ226" s="2057"/>
      <c r="AR226" s="2057"/>
      <c r="AS226" s="2057"/>
      <c r="AT226" s="2057"/>
      <c r="AU226" s="2057"/>
      <c r="AV226" s="2057"/>
      <c r="AW226" s="2057"/>
      <c r="AX226" s="2057"/>
      <c r="AY226" s="2058"/>
      <c r="AZ226" s="33"/>
    </row>
    <row r="227" spans="1:52" ht="42" customHeight="1" x14ac:dyDescent="0.25">
      <c r="A227" s="1321" t="s">
        <v>186</v>
      </c>
      <c r="B227" s="2095" t="s">
        <v>44</v>
      </c>
      <c r="C227" s="2096"/>
      <c r="D227" s="2096"/>
      <c r="E227" s="2096"/>
      <c r="F227" s="2096"/>
      <c r="G227" s="2096"/>
      <c r="H227" s="2096"/>
      <c r="I227" s="2096"/>
      <c r="J227" s="2048" t="s">
        <v>569</v>
      </c>
      <c r="K227" s="2049"/>
      <c r="L227" s="2050" t="s">
        <v>46</v>
      </c>
      <c r="M227" s="2051"/>
      <c r="N227" s="2051"/>
      <c r="O227" s="2051"/>
      <c r="P227" s="2051"/>
      <c r="Q227" s="2051"/>
      <c r="R227" s="2051"/>
      <c r="S227" s="2051"/>
      <c r="T227" s="2051"/>
      <c r="U227" s="2052">
        <v>1</v>
      </c>
      <c r="V227" s="2050" t="s">
        <v>1312</v>
      </c>
      <c r="W227" s="2051"/>
      <c r="X227" s="2051"/>
      <c r="Y227" s="2051"/>
      <c r="Z227" s="2051"/>
      <c r="AA227" s="2051"/>
      <c r="AB227" s="2051"/>
      <c r="AC227" s="2051"/>
      <c r="AD227" s="2051"/>
      <c r="AE227" s="2052">
        <v>1</v>
      </c>
      <c r="AF227" s="2050" t="s">
        <v>44</v>
      </c>
      <c r="AG227" s="2051"/>
      <c r="AH227" s="2051"/>
      <c r="AI227" s="2051"/>
      <c r="AJ227" s="2051"/>
      <c r="AK227" s="2051"/>
      <c r="AL227" s="2051"/>
      <c r="AM227" s="2051"/>
      <c r="AN227" s="2051"/>
      <c r="AO227" s="2052">
        <v>1</v>
      </c>
      <c r="AP227" s="2046" t="s">
        <v>45</v>
      </c>
      <c r="AQ227" s="2047"/>
      <c r="AR227" s="2047"/>
      <c r="AS227" s="2047"/>
      <c r="AT227" s="2047"/>
      <c r="AU227" s="2047"/>
      <c r="AV227" s="2047"/>
      <c r="AW227" s="2047"/>
      <c r="AX227" s="2073" t="s">
        <v>569</v>
      </c>
      <c r="AY227" s="2074"/>
    </row>
    <row r="228" spans="1:52" ht="42" customHeight="1" thickBot="1" x14ac:dyDescent="0.3">
      <c r="A228" s="1338"/>
      <c r="B228" s="2040"/>
      <c r="C228" s="2041"/>
      <c r="D228" s="2041"/>
      <c r="E228" s="2041"/>
      <c r="F228" s="2041"/>
      <c r="G228" s="2041"/>
      <c r="H228" s="2041"/>
      <c r="I228" s="2041"/>
      <c r="J228" s="2041"/>
      <c r="K228" s="2042"/>
      <c r="L228" s="1588" t="s">
        <v>156</v>
      </c>
      <c r="M228" s="1589"/>
      <c r="N228" s="1589"/>
      <c r="O228" s="1589"/>
      <c r="P228" s="1589"/>
      <c r="Q228" s="1589"/>
      <c r="R228" s="1589"/>
      <c r="S228" s="1589"/>
      <c r="T228" s="1589"/>
      <c r="U228" s="1590"/>
      <c r="V228" s="2043" t="s">
        <v>142</v>
      </c>
      <c r="W228" s="2044"/>
      <c r="X228" s="2044"/>
      <c r="Y228" s="2044"/>
      <c r="Z228" s="2044"/>
      <c r="AA228" s="2044"/>
      <c r="AB228" s="2044"/>
      <c r="AC228" s="2044"/>
      <c r="AD228" s="2044"/>
      <c r="AE228" s="2045"/>
      <c r="AF228" s="2043"/>
      <c r="AG228" s="2044"/>
      <c r="AH228" s="2044"/>
      <c r="AI228" s="2044"/>
      <c r="AJ228" s="2044"/>
      <c r="AK228" s="2044"/>
      <c r="AL228" s="2044"/>
      <c r="AM228" s="2044"/>
      <c r="AN228" s="2044"/>
      <c r="AO228" s="2045"/>
      <c r="AP228" s="2040"/>
      <c r="AQ228" s="2041"/>
      <c r="AR228" s="2041"/>
      <c r="AS228" s="2041"/>
      <c r="AT228" s="2041"/>
      <c r="AU228" s="2041"/>
      <c r="AV228" s="2041"/>
      <c r="AW228" s="2041"/>
      <c r="AX228" s="2041"/>
      <c r="AY228" s="2042"/>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33" t="s">
        <v>214</v>
      </c>
      <c r="B231" s="935"/>
      <c r="C231" s="1033" t="s">
        <v>215</v>
      </c>
      <c r="D231" s="934"/>
      <c r="E231" s="934"/>
      <c r="F231" s="934"/>
      <c r="G231" s="934"/>
      <c r="H231" s="934"/>
      <c r="I231" s="934"/>
      <c r="J231" s="934"/>
      <c r="K231" s="934"/>
      <c r="L231" s="934"/>
      <c r="M231" s="934"/>
      <c r="N231" s="934"/>
      <c r="O231" s="1033" t="s">
        <v>299</v>
      </c>
      <c r="P231" s="934"/>
      <c r="Q231" s="934"/>
      <c r="R231" s="935"/>
      <c r="S231" s="1033" t="s">
        <v>139</v>
      </c>
      <c r="T231" s="935"/>
      <c r="U231" s="1787" t="s">
        <v>163</v>
      </c>
      <c r="V231" s="1788"/>
      <c r="W231" s="1788"/>
      <c r="X231" s="1788"/>
      <c r="Y231" s="1788"/>
      <c r="Z231" s="1788"/>
      <c r="AA231" s="1788"/>
      <c r="AB231" s="1788"/>
      <c r="AC231" s="1788"/>
      <c r="AD231" s="1788"/>
      <c r="AE231" s="1788"/>
      <c r="AF231" s="1788"/>
      <c r="AG231" s="1788"/>
      <c r="AH231" s="1788"/>
      <c r="AI231" s="1788"/>
      <c r="AJ231" s="1788"/>
      <c r="AK231" s="1788"/>
      <c r="AL231" s="1788"/>
      <c r="AM231" s="1788"/>
      <c r="AN231" s="1788"/>
      <c r="AO231" s="1789"/>
      <c r="AQ231" s="1866" t="s">
        <v>1012</v>
      </c>
      <c r="AR231" s="1867"/>
      <c r="AS231" s="1867"/>
      <c r="AT231" s="1868"/>
      <c r="AV231" s="1873"/>
      <c r="AW231" s="1873"/>
      <c r="AX231" s="1873"/>
      <c r="AY231" s="1873"/>
    </row>
    <row r="232" spans="1:52" ht="15" customHeight="1" x14ac:dyDescent="0.25">
      <c r="A232" s="1848" t="str">
        <f>VLOOKUP(O232,ASIGNATURAS!$F$1:$L$1022, 3, FALSE)</f>
        <v>SIMULACION</v>
      </c>
      <c r="B232" s="1849"/>
      <c r="C232" s="1818" t="str">
        <f>VLOOKUP(O232,ASIGNATURAS!$F$1:$L$1022, 4, FALSE)</f>
        <v>Simulación Numérica de Componentes y Estructuras</v>
      </c>
      <c r="D232" s="1818"/>
      <c r="E232" s="1818"/>
      <c r="F232" s="1818"/>
      <c r="G232" s="1818"/>
      <c r="H232" s="1818"/>
      <c r="I232" s="1818"/>
      <c r="J232" s="1818"/>
      <c r="K232" s="1818"/>
      <c r="L232" s="1818"/>
      <c r="M232" s="1818"/>
      <c r="N232" s="1818"/>
      <c r="O232" s="1819">
        <v>8507</v>
      </c>
      <c r="P232" s="1819"/>
      <c r="Q232" s="1819"/>
      <c r="R232" s="1819"/>
      <c r="S232" s="1819" t="str">
        <f>VLOOKUP(O232,ASIGNATURAS!$F$1:$L$1022, 5, FALSE)</f>
        <v>6 (OP)</v>
      </c>
      <c r="T232" s="1819"/>
      <c r="U232" s="1770" t="str">
        <f>VLOOKUP(O232,ASIGNATURAS!$F$1:$L$1022, 6, FALSE)</f>
        <v>No se imparte curso 24-25</v>
      </c>
      <c r="V232" s="1771"/>
      <c r="W232" s="1771"/>
      <c r="X232" s="1771"/>
      <c r="Y232" s="1771"/>
      <c r="Z232" s="1771"/>
      <c r="AA232" s="1771"/>
      <c r="AB232" s="1771"/>
      <c r="AC232" s="1771"/>
      <c r="AD232" s="1771"/>
      <c r="AE232" s="1771"/>
      <c r="AF232" s="1771"/>
      <c r="AG232" s="1771"/>
      <c r="AH232" s="1771"/>
      <c r="AI232" s="1771"/>
      <c r="AJ232" s="1771"/>
      <c r="AK232" s="1771"/>
      <c r="AL232" s="1771"/>
      <c r="AM232" s="1771"/>
      <c r="AN232" s="1771"/>
      <c r="AO232" s="1772"/>
      <c r="AQ232" s="1869"/>
      <c r="AR232" s="1870"/>
      <c r="AS232" s="1870"/>
      <c r="AT232" s="1871"/>
      <c r="AV232" s="1873"/>
      <c r="AW232" s="1873"/>
      <c r="AX232" s="1873"/>
      <c r="AY232" s="1873"/>
    </row>
    <row r="233" spans="1:52" ht="15" customHeight="1" x14ac:dyDescent="0.25">
      <c r="A233" s="1848" t="str">
        <f>VLOOKUP(O233,ASIGNATURAS!$F$1:$L$1022, 3, FALSE)</f>
        <v xml:space="preserve">TECN. MEC. II </v>
      </c>
      <c r="B233" s="1849"/>
      <c r="C233" s="1795" t="str">
        <f>VLOOKUP(O233,ASIGNATURAS!$F$1:$L$1022, 4, FALSE)</f>
        <v>Tecnología Mecánica II</v>
      </c>
      <c r="D233" s="1795"/>
      <c r="E233" s="1795"/>
      <c r="F233" s="1795"/>
      <c r="G233" s="1795"/>
      <c r="H233" s="1795"/>
      <c r="I233" s="1795"/>
      <c r="J233" s="1795"/>
      <c r="K233" s="1795"/>
      <c r="L233" s="1795"/>
      <c r="M233" s="1795"/>
      <c r="N233" s="1795"/>
      <c r="O233" s="1765">
        <v>6338</v>
      </c>
      <c r="P233" s="1765"/>
      <c r="Q233" s="1765"/>
      <c r="R233" s="1765"/>
      <c r="S233" s="1765" t="str">
        <f>VLOOKUP(O233,ASIGNATURAS!$F$1:$L$1022, 5, FALSE)</f>
        <v>6 (OP)</v>
      </c>
      <c r="T233" s="1765"/>
      <c r="U233" s="1770" t="str">
        <f>VLOOKUP(O233,ASIGNATURAS!$F$1:$L$1022, 6, FALSE)</f>
        <v>No se imparte curso 24-25</v>
      </c>
      <c r="V233" s="1771"/>
      <c r="W233" s="1771"/>
      <c r="X233" s="1771"/>
      <c r="Y233" s="1771"/>
      <c r="Z233" s="1771"/>
      <c r="AA233" s="1771"/>
      <c r="AB233" s="1771"/>
      <c r="AC233" s="1771"/>
      <c r="AD233" s="1771"/>
      <c r="AE233" s="1771"/>
      <c r="AF233" s="1771"/>
      <c r="AG233" s="1771"/>
      <c r="AH233" s="1771"/>
      <c r="AI233" s="1771"/>
      <c r="AJ233" s="1771"/>
      <c r="AK233" s="1771"/>
      <c r="AL233" s="1771"/>
      <c r="AM233" s="1771"/>
      <c r="AN233" s="1771"/>
      <c r="AO233" s="1772"/>
      <c r="AQ233" s="1784" t="s">
        <v>1008</v>
      </c>
      <c r="AR233" s="1785"/>
      <c r="AS233" s="1785"/>
      <c r="AT233" s="1786"/>
      <c r="AV233" s="2070"/>
      <c r="AW233" s="2070"/>
      <c r="AX233" s="2070"/>
      <c r="AY233" s="2070"/>
    </row>
    <row r="234" spans="1:52" ht="15" customHeight="1" x14ac:dyDescent="0.25">
      <c r="A234" s="1848" t="str">
        <f>VLOOKUP(O234,ASIGNATURAS!$F$1:$L$1022, 3, FALSE)</f>
        <v xml:space="preserve">EQUILIBRADO </v>
      </c>
      <c r="B234" s="1849"/>
      <c r="C234" s="1795" t="str">
        <f>VLOOKUP(O234,ASIGNATURAS!$F$1:$L$1022, 4, FALSE)</f>
        <v>Equilibrado de Máquinas</v>
      </c>
      <c r="D234" s="1795"/>
      <c r="E234" s="1795"/>
      <c r="F234" s="1795"/>
      <c r="G234" s="1795"/>
      <c r="H234" s="1795"/>
      <c r="I234" s="1795"/>
      <c r="J234" s="1795"/>
      <c r="K234" s="1795"/>
      <c r="L234" s="1795"/>
      <c r="M234" s="1795"/>
      <c r="N234" s="1795"/>
      <c r="O234" s="1765">
        <v>6339</v>
      </c>
      <c r="P234" s="1765"/>
      <c r="Q234" s="1765"/>
      <c r="R234" s="1765"/>
      <c r="S234" s="1765" t="str">
        <f>VLOOKUP(O234,ASIGNATURAS!$F$1:$L$1022, 5, FALSE)</f>
        <v>6 (OP)</v>
      </c>
      <c r="T234" s="1765"/>
      <c r="U234" s="1770" t="str">
        <f>VLOOKUP(O234,ASIGNATURAS!$F$1:$L$1022, 6, FALSE)</f>
        <v>No se imparte curso 24-25</v>
      </c>
      <c r="V234" s="1771"/>
      <c r="W234" s="1771"/>
      <c r="X234" s="1771"/>
      <c r="Y234" s="1771"/>
      <c r="Z234" s="1771"/>
      <c r="AA234" s="1771"/>
      <c r="AB234" s="1771"/>
      <c r="AC234" s="1771"/>
      <c r="AD234" s="1771"/>
      <c r="AE234" s="1771"/>
      <c r="AF234" s="1771"/>
      <c r="AG234" s="1771"/>
      <c r="AH234" s="1771"/>
      <c r="AI234" s="1771"/>
      <c r="AJ234" s="1771"/>
      <c r="AK234" s="1771"/>
      <c r="AL234" s="1771"/>
      <c r="AM234" s="1771"/>
      <c r="AN234" s="1771"/>
      <c r="AO234" s="1772"/>
      <c r="AQ234" s="750"/>
      <c r="AR234" s="751"/>
      <c r="AS234" s="751"/>
      <c r="AT234" s="752"/>
      <c r="AV234" s="749"/>
      <c r="AW234" s="749"/>
      <c r="AX234" s="749"/>
      <c r="AY234" s="749"/>
    </row>
    <row r="235" spans="1:52" ht="15" customHeight="1" x14ac:dyDescent="0.25">
      <c r="A235" s="1848" t="str">
        <f>VLOOKUP(O235,ASIGNATURAS!$F$1:$L$1022, 3, FALSE)</f>
        <v>RENOV. Y M.AMB</v>
      </c>
      <c r="B235" s="1849"/>
      <c r="C235" s="1795" t="str">
        <f>VLOOKUP(O235,ASIGNATURAS!$F$1:$L$1022, 4, FALSE)</f>
        <v>Energías Renovables y Medio Ambiente</v>
      </c>
      <c r="D235" s="1795"/>
      <c r="E235" s="1795"/>
      <c r="F235" s="1795"/>
      <c r="G235" s="1795"/>
      <c r="H235" s="1795"/>
      <c r="I235" s="1795"/>
      <c r="J235" s="1795"/>
      <c r="K235" s="1795"/>
      <c r="L235" s="1795"/>
      <c r="M235" s="1795"/>
      <c r="N235" s="1795"/>
      <c r="O235" s="1765">
        <v>6340</v>
      </c>
      <c r="P235" s="1765"/>
      <c r="Q235" s="1765"/>
      <c r="R235" s="1765"/>
      <c r="S235" s="1765" t="str">
        <f>VLOOKUP(O235,ASIGNATURAS!$F$1:$L$1022, 5, FALSE)</f>
        <v>6 (OP)</v>
      </c>
      <c r="T235" s="1765"/>
      <c r="U235" s="1770" t="str">
        <f>VLOOKUP(O235,ASIGNATURAS!$F$1:$L$1022, 6, FALSE)</f>
        <v>Manuel Iván González, Luis Antonio Marcos</v>
      </c>
      <c r="V235" s="1771"/>
      <c r="W235" s="1771"/>
      <c r="X235" s="1771"/>
      <c r="Y235" s="1771"/>
      <c r="Z235" s="1771"/>
      <c r="AA235" s="1771"/>
      <c r="AB235" s="1771"/>
      <c r="AC235" s="1771"/>
      <c r="AD235" s="1771"/>
      <c r="AE235" s="1771"/>
      <c r="AF235" s="1771"/>
      <c r="AG235" s="1771"/>
      <c r="AH235" s="1771"/>
      <c r="AI235" s="1771"/>
      <c r="AJ235" s="1771"/>
      <c r="AK235" s="1771"/>
      <c r="AL235" s="1771"/>
      <c r="AM235" s="1771"/>
      <c r="AN235" s="1771"/>
      <c r="AO235" s="1772"/>
      <c r="AQ235" s="2076" t="s">
        <v>569</v>
      </c>
      <c r="AR235" s="2077"/>
      <c r="AS235" s="2077"/>
      <c r="AT235" s="2078"/>
      <c r="AV235" s="1874"/>
      <c r="AW235" s="1874"/>
      <c r="AX235" s="1874"/>
      <c r="AY235" s="1874"/>
    </row>
    <row r="236" spans="1:52" ht="15.6" thickBot="1" x14ac:dyDescent="0.3">
      <c r="A236" s="1782" t="str">
        <f>VLOOKUP(O236,ASIGNATURAS!$F$1:$L$1022, 3, FALSE)</f>
        <v>INGLES</v>
      </c>
      <c r="B236" s="1783"/>
      <c r="C236" s="1831" t="str">
        <f>VLOOKUP(O236,ASIGNATURAS!$F$1:$L$1022, 4, FALSE)</f>
        <v>Inglés Aplicado a la Ingeniería Mecánica</v>
      </c>
      <c r="D236" s="1831"/>
      <c r="E236" s="1831"/>
      <c r="F236" s="1831"/>
      <c r="G236" s="1831"/>
      <c r="H236" s="1831"/>
      <c r="I236" s="1831"/>
      <c r="J236" s="1831"/>
      <c r="K236" s="1831"/>
      <c r="L236" s="1831"/>
      <c r="M236" s="1831"/>
      <c r="N236" s="1831"/>
      <c r="O236" s="1766">
        <v>6341</v>
      </c>
      <c r="P236" s="1766"/>
      <c r="Q236" s="1766"/>
      <c r="R236" s="1766"/>
      <c r="S236" s="1766" t="str">
        <f>VLOOKUP(O236,ASIGNATURAS!$F$1:$L$1022, 5, FALSE)</f>
        <v>6 (OP)</v>
      </c>
      <c r="T236" s="1766"/>
      <c r="U236" s="1833" t="str">
        <f>VLOOKUP(O236,ASIGNATURAS!$F$1:$L$1022, 6, FALSE)</f>
        <v>Ana Isabel Gómez</v>
      </c>
      <c r="V236" s="1834"/>
      <c r="W236" s="1834"/>
      <c r="X236" s="1834"/>
      <c r="Y236" s="1834"/>
      <c r="Z236" s="1834"/>
      <c r="AA236" s="1834"/>
      <c r="AB236" s="1834"/>
      <c r="AC236" s="1834"/>
      <c r="AD236" s="1834"/>
      <c r="AE236" s="1834"/>
      <c r="AF236" s="1834"/>
      <c r="AG236" s="1834"/>
      <c r="AH236" s="1834"/>
      <c r="AI236" s="1834"/>
      <c r="AJ236" s="1834"/>
      <c r="AK236" s="1834"/>
      <c r="AL236" s="1834"/>
      <c r="AM236" s="1834"/>
      <c r="AN236" s="1834"/>
      <c r="AO236" s="1835"/>
      <c r="AQ236" s="2089" t="s">
        <v>571</v>
      </c>
      <c r="AR236" s="2090"/>
      <c r="AS236" s="2090"/>
      <c r="AT236" s="2091"/>
      <c r="AV236" s="1874"/>
      <c r="AW236" s="1874"/>
      <c r="AX236" s="1874"/>
      <c r="AY236" s="1874"/>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2081" t="s">
        <v>572</v>
      </c>
      <c r="AR237" s="2082"/>
      <c r="AS237" s="2082"/>
      <c r="AT237" s="2083"/>
    </row>
    <row r="238" spans="1:52" ht="15" x14ac:dyDescent="0.25">
      <c r="A238" s="93" t="s">
        <v>213</v>
      </c>
    </row>
  </sheetData>
  <mergeCells count="147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F18:AO18"/>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R59:S59"/>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Z53:Z55"/>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C62:Q62"/>
    <mergeCell ref="AP18:AY18"/>
    <mergeCell ref="AP12:AU13"/>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N74:N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AI194:AI197"/>
    <mergeCell ref="A200:A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V97:AE97"/>
    <mergeCell ref="O82:R82"/>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CK46:CP46"/>
    <mergeCell ref="CQ46:CS46"/>
    <mergeCell ref="CL70:CU70"/>
    <mergeCell ref="CG45:CI45"/>
    <mergeCell ref="CU71:CU72"/>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BN74:BP74"/>
    <mergeCell ref="CQ71:CQ72"/>
    <mergeCell ref="CL74:CQ7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BK71:BK72"/>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BH76:BM76"/>
    <mergeCell ref="AV78:AV80"/>
    <mergeCell ref="AT78:AT80"/>
    <mergeCell ref="A83:B83"/>
    <mergeCell ref="C63:Q63"/>
    <mergeCell ref="AP78:AP80"/>
    <mergeCell ref="AF103:AK10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C64:Q64"/>
    <mergeCell ref="V141:V143"/>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U116:AO116"/>
    <mergeCell ref="L112:L114"/>
    <mergeCell ref="C116:N116"/>
    <mergeCell ref="A116:B116"/>
    <mergeCell ref="O116:R116"/>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44" zoomScale="98" zoomScaleNormal="91" zoomScaleSheetLayoutView="98" zoomScalePageLayoutView="70" workbookViewId="0">
      <selection activeCell="AD154" sqref="AD154:AD15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35" t="str">
        <f>VLOOKUP(A4,ASIGNATURAS!$A$2:$D$151, 3, FALSE)</f>
        <v>1º Grado en Ingeniería de Organización Industrial</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247" t="s">
        <v>148</v>
      </c>
      <c r="AA2" s="1248"/>
      <c r="AB2" s="1248"/>
      <c r="AC2" s="1248"/>
      <c r="AD2" s="1248"/>
      <c r="AE2" s="1249"/>
    </row>
    <row r="3" spans="1:31"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250"/>
      <c r="AA3" s="1251"/>
      <c r="AB3" s="1251"/>
      <c r="AC3" s="1251"/>
      <c r="AD3" s="1251"/>
      <c r="AE3" s="1252"/>
    </row>
    <row r="4" spans="1:31" ht="38.25" customHeight="1" thickBot="1" x14ac:dyDescent="0.3">
      <c r="A4" s="9" t="s">
        <v>58</v>
      </c>
    </row>
    <row r="5" spans="1:31"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1" ht="30" customHeight="1" x14ac:dyDescent="0.3">
      <c r="A6" s="1160" t="s">
        <v>10</v>
      </c>
      <c r="B6" s="1002" t="s">
        <v>49</v>
      </c>
      <c r="C6" s="1003"/>
      <c r="D6" s="1003"/>
      <c r="E6" s="1003"/>
      <c r="F6" s="1003"/>
      <c r="G6" s="1004"/>
      <c r="H6" s="1003" t="s">
        <v>23</v>
      </c>
      <c r="I6" s="1003"/>
      <c r="J6" s="1003"/>
      <c r="K6" s="1003"/>
      <c r="L6" s="1003"/>
      <c r="M6" s="1004"/>
      <c r="N6" s="1002" t="s">
        <v>23</v>
      </c>
      <c r="O6" s="1003"/>
      <c r="P6" s="1003"/>
      <c r="Q6" s="1003"/>
      <c r="R6" s="1003"/>
      <c r="S6" s="1003"/>
      <c r="T6" s="1002" t="s">
        <v>49</v>
      </c>
      <c r="U6" s="1003"/>
      <c r="V6" s="1003"/>
      <c r="W6" s="1003"/>
      <c r="X6" s="1003"/>
      <c r="Y6" s="1004"/>
      <c r="Z6" s="1003" t="s">
        <v>1308</v>
      </c>
      <c r="AA6" s="1003"/>
      <c r="AB6" s="1003"/>
      <c r="AC6" s="1003"/>
      <c r="AD6" s="1003"/>
      <c r="AE6" s="1004"/>
    </row>
    <row r="7" spans="1:31" ht="30" customHeight="1" x14ac:dyDescent="0.25">
      <c r="A7" s="1161"/>
      <c r="B7" s="951" t="s">
        <v>148</v>
      </c>
      <c r="C7" s="952"/>
      <c r="D7" s="952"/>
      <c r="E7" s="952"/>
      <c r="F7" s="952"/>
      <c r="G7" s="953"/>
      <c r="H7" s="951" t="s">
        <v>148</v>
      </c>
      <c r="I7" s="952"/>
      <c r="J7" s="952"/>
      <c r="K7" s="952"/>
      <c r="L7" s="952"/>
      <c r="M7" s="953"/>
      <c r="N7" s="951" t="s">
        <v>148</v>
      </c>
      <c r="O7" s="952"/>
      <c r="P7" s="952"/>
      <c r="Q7" s="952"/>
      <c r="R7" s="952"/>
      <c r="S7" s="953"/>
      <c r="T7" s="951" t="s">
        <v>148</v>
      </c>
      <c r="U7" s="952"/>
      <c r="V7" s="952"/>
      <c r="W7" s="952"/>
      <c r="X7" s="952"/>
      <c r="Y7" s="953"/>
      <c r="Z7" s="951" t="s">
        <v>813</v>
      </c>
      <c r="AA7" s="952"/>
      <c r="AB7" s="952"/>
      <c r="AC7" s="952"/>
      <c r="AD7" s="952"/>
      <c r="AE7" s="953"/>
    </row>
    <row r="8" spans="1:31" ht="33" customHeight="1" x14ac:dyDescent="0.3">
      <c r="A8" s="1161" t="s">
        <v>11</v>
      </c>
      <c r="B8" s="963" t="s">
        <v>12</v>
      </c>
      <c r="C8" s="957"/>
      <c r="D8" s="957"/>
      <c r="E8" s="957"/>
      <c r="F8" s="957"/>
      <c r="G8" s="958"/>
      <c r="H8" s="957" t="s">
        <v>78</v>
      </c>
      <c r="I8" s="957"/>
      <c r="J8" s="957"/>
      <c r="K8" s="957"/>
      <c r="L8" s="957"/>
      <c r="M8" s="958"/>
      <c r="N8" s="963" t="s">
        <v>78</v>
      </c>
      <c r="O8" s="957"/>
      <c r="P8" s="957"/>
      <c r="Q8" s="957"/>
      <c r="R8" s="957"/>
      <c r="S8" s="957"/>
      <c r="T8" s="963" t="s">
        <v>12</v>
      </c>
      <c r="U8" s="957"/>
      <c r="V8" s="957"/>
      <c r="W8" s="957"/>
      <c r="X8" s="957"/>
      <c r="Y8" s="958"/>
      <c r="Z8" s="202" t="s">
        <v>569</v>
      </c>
      <c r="AA8" s="1242" t="s">
        <v>1287</v>
      </c>
      <c r="AB8" s="831"/>
      <c r="AC8" s="1245"/>
      <c r="AD8" s="201" t="s">
        <v>570</v>
      </c>
      <c r="AE8" s="1229" t="s">
        <v>1286</v>
      </c>
    </row>
    <row r="9" spans="1:31" ht="30" customHeight="1" x14ac:dyDescent="0.25">
      <c r="A9" s="1161"/>
      <c r="B9" s="951" t="s">
        <v>148</v>
      </c>
      <c r="C9" s="952"/>
      <c r="D9" s="952"/>
      <c r="E9" s="952"/>
      <c r="F9" s="952"/>
      <c r="G9" s="953"/>
      <c r="H9" s="951" t="s">
        <v>148</v>
      </c>
      <c r="I9" s="952"/>
      <c r="J9" s="952"/>
      <c r="K9" s="952"/>
      <c r="L9" s="952"/>
      <c r="M9" s="953"/>
      <c r="N9" s="951" t="s">
        <v>148</v>
      </c>
      <c r="O9" s="952"/>
      <c r="P9" s="952"/>
      <c r="Q9" s="952"/>
      <c r="R9" s="952"/>
      <c r="S9" s="953"/>
      <c r="T9" s="951" t="s">
        <v>148</v>
      </c>
      <c r="U9" s="952"/>
      <c r="V9" s="952"/>
      <c r="W9" s="952"/>
      <c r="X9" s="952"/>
      <c r="Y9" s="953"/>
      <c r="Z9" s="1075" t="s">
        <v>1308</v>
      </c>
      <c r="AA9" s="1243"/>
      <c r="AB9" s="1263"/>
      <c r="AC9" s="1245"/>
      <c r="AD9" s="1289" t="s">
        <v>1308</v>
      </c>
      <c r="AE9" s="1230"/>
    </row>
    <row r="10" spans="1:31" ht="51" customHeight="1" x14ac:dyDescent="0.25">
      <c r="A10" s="1161" t="s">
        <v>6</v>
      </c>
      <c r="B10" s="162" t="s">
        <v>569</v>
      </c>
      <c r="C10" s="1224" t="s">
        <v>735</v>
      </c>
      <c r="D10" s="201" t="s">
        <v>570</v>
      </c>
      <c r="E10" s="1239" t="s">
        <v>145</v>
      </c>
      <c r="F10" s="123"/>
      <c r="G10" s="1307"/>
      <c r="H10" s="164" t="s">
        <v>569</v>
      </c>
      <c r="I10" s="1224" t="s">
        <v>161</v>
      </c>
      <c r="J10" s="163" t="s">
        <v>570</v>
      </c>
      <c r="K10" s="1224" t="s">
        <v>659</v>
      </c>
      <c r="L10" s="201" t="s">
        <v>571</v>
      </c>
      <c r="M10" s="1271" t="s">
        <v>145</v>
      </c>
      <c r="N10" s="162" t="s">
        <v>569</v>
      </c>
      <c r="O10" s="1224" t="s">
        <v>659</v>
      </c>
      <c r="P10" s="773"/>
      <c r="Q10" s="1311"/>
      <c r="R10" s="339"/>
      <c r="S10" s="1276"/>
      <c r="T10" s="690"/>
      <c r="U10" s="1207"/>
      <c r="V10" s="1274" t="s">
        <v>1308</v>
      </c>
      <c r="W10" s="1275"/>
      <c r="X10" s="773"/>
      <c r="Y10" s="1266"/>
      <c r="Z10" s="1075"/>
      <c r="AA10" s="1243"/>
      <c r="AB10" s="1263"/>
      <c r="AC10" s="1245"/>
      <c r="AD10" s="1289"/>
      <c r="AE10" s="1230"/>
    </row>
    <row r="11" spans="1:31" ht="47.4" customHeight="1" x14ac:dyDescent="0.25">
      <c r="A11" s="1161"/>
      <c r="B11" s="1192" t="s">
        <v>49</v>
      </c>
      <c r="C11" s="1224"/>
      <c r="D11" s="1190" t="s">
        <v>12</v>
      </c>
      <c r="E11" s="1240"/>
      <c r="F11" s="1317"/>
      <c r="G11" s="1307"/>
      <c r="H11" s="1309" t="s">
        <v>23</v>
      </c>
      <c r="I11" s="1224"/>
      <c r="J11" s="1190" t="s">
        <v>78</v>
      </c>
      <c r="K11" s="1224"/>
      <c r="L11" s="1190" t="s">
        <v>12</v>
      </c>
      <c r="M11" s="1272"/>
      <c r="N11" s="1192" t="s">
        <v>78</v>
      </c>
      <c r="O11" s="1224"/>
      <c r="P11" s="1232"/>
      <c r="Q11" s="1312"/>
      <c r="R11" s="1300"/>
      <c r="S11" s="1276"/>
      <c r="T11" s="1209"/>
      <c r="U11" s="1207"/>
      <c r="V11" s="1278" t="s">
        <v>143</v>
      </c>
      <c r="W11" s="1077"/>
      <c r="X11" s="1232"/>
      <c r="Y11" s="1266"/>
      <c r="Z11" s="1075"/>
      <c r="AA11" s="1243"/>
      <c r="AB11" s="1264"/>
      <c r="AC11" s="1246"/>
      <c r="AD11" s="1289"/>
      <c r="AE11" s="1230"/>
    </row>
    <row r="12" spans="1:31" ht="30" customHeight="1" x14ac:dyDescent="0.25">
      <c r="A12" s="1161" t="s">
        <v>7</v>
      </c>
      <c r="B12" s="1192"/>
      <c r="C12" s="1224"/>
      <c r="D12" s="1190"/>
      <c r="E12" s="1240"/>
      <c r="F12" s="1317"/>
      <c r="G12" s="1307"/>
      <c r="H12" s="1309"/>
      <c r="I12" s="1224"/>
      <c r="J12" s="1190"/>
      <c r="K12" s="1224"/>
      <c r="L12" s="1190"/>
      <c r="M12" s="1272"/>
      <c r="N12" s="1192"/>
      <c r="O12" s="1224"/>
      <c r="P12" s="1232"/>
      <c r="Q12" s="1312"/>
      <c r="R12" s="1300"/>
      <c r="S12" s="1276"/>
      <c r="T12" s="1209"/>
      <c r="U12" s="1207"/>
      <c r="V12" s="897" t="s">
        <v>625</v>
      </c>
      <c r="W12" s="1236" t="s">
        <v>1287</v>
      </c>
      <c r="X12" s="1232"/>
      <c r="Y12" s="1266"/>
      <c r="Z12" s="1075"/>
      <c r="AA12" s="1243"/>
      <c r="AD12" s="1289"/>
      <c r="AE12" s="1230"/>
    </row>
    <row r="13" spans="1:31" ht="30" customHeight="1" x14ac:dyDescent="0.25">
      <c r="A13" s="1161"/>
      <c r="B13" s="1193"/>
      <c r="C13" s="1225"/>
      <c r="D13" s="1226"/>
      <c r="E13" s="1241"/>
      <c r="F13" s="1318"/>
      <c r="G13" s="1308"/>
      <c r="H13" s="1310"/>
      <c r="I13" s="1225"/>
      <c r="J13" s="1226"/>
      <c r="K13" s="1225"/>
      <c r="L13" s="1226"/>
      <c r="M13" s="1291"/>
      <c r="N13" s="1193"/>
      <c r="O13" s="1225"/>
      <c r="P13" s="1262"/>
      <c r="Q13" s="1313"/>
      <c r="R13" s="1301"/>
      <c r="S13" s="1277"/>
      <c r="T13" s="1210"/>
      <c r="U13" s="1208"/>
      <c r="V13" s="1315" t="s">
        <v>1308</v>
      </c>
      <c r="W13" s="1236"/>
      <c r="X13" s="1262"/>
      <c r="Y13" s="1267"/>
      <c r="Z13" s="1265"/>
      <c r="AA13" s="1244"/>
      <c r="AD13" s="1290"/>
      <c r="AE13" s="1231"/>
    </row>
    <row r="14" spans="1:31" ht="33" customHeight="1" x14ac:dyDescent="0.25">
      <c r="A14" s="1161" t="s">
        <v>8</v>
      </c>
      <c r="B14" s="162" t="s">
        <v>569</v>
      </c>
      <c r="C14" s="1239" t="s">
        <v>145</v>
      </c>
      <c r="D14" s="832" t="s">
        <v>570</v>
      </c>
      <c r="E14" s="1302" t="s">
        <v>735</v>
      </c>
      <c r="F14" s="79"/>
      <c r="G14" s="409"/>
      <c r="H14" s="1233"/>
      <c r="I14" s="1234"/>
      <c r="J14" s="1234"/>
      <c r="K14" s="1235"/>
      <c r="L14" s="164" t="s">
        <v>570</v>
      </c>
      <c r="M14" s="1271" t="s">
        <v>161</v>
      </c>
      <c r="R14" s="339"/>
      <c r="S14" s="1268"/>
      <c r="T14" s="33"/>
      <c r="V14" s="1315"/>
      <c r="W14" s="1236"/>
      <c r="X14" s="774"/>
      <c r="Y14" s="1266"/>
      <c r="Z14" s="1253"/>
      <c r="AA14" s="1254"/>
      <c r="AB14" s="1254"/>
      <c r="AC14" s="1254"/>
      <c r="AD14" s="1254"/>
      <c r="AE14" s="1255"/>
    </row>
    <row r="15" spans="1:31" ht="30" customHeight="1" x14ac:dyDescent="0.25">
      <c r="A15" s="1161"/>
      <c r="B15" s="1192" t="s">
        <v>12</v>
      </c>
      <c r="C15" s="1240"/>
      <c r="D15" s="1305" t="s">
        <v>49</v>
      </c>
      <c r="E15" s="1303"/>
      <c r="F15" s="79"/>
      <c r="G15" s="409"/>
      <c r="H15" s="1227"/>
      <c r="I15" s="1228"/>
      <c r="J15" s="1228"/>
      <c r="K15" s="1228"/>
      <c r="L15" s="1190" t="s">
        <v>23</v>
      </c>
      <c r="M15" s="1272"/>
      <c r="R15" s="1300"/>
      <c r="S15" s="1268"/>
      <c r="T15" s="33"/>
      <c r="V15" s="1315"/>
      <c r="W15" s="1236"/>
      <c r="X15" s="1232"/>
      <c r="Y15" s="1266"/>
      <c r="Z15" s="1256"/>
      <c r="AA15" s="1257"/>
      <c r="AB15" s="1257"/>
      <c r="AC15" s="1257"/>
      <c r="AD15" s="1257"/>
      <c r="AE15" s="1258"/>
    </row>
    <row r="16" spans="1:31" ht="30" customHeight="1" x14ac:dyDescent="0.3">
      <c r="A16" s="1161" t="s">
        <v>9</v>
      </c>
      <c r="B16" s="1192"/>
      <c r="C16" s="1240"/>
      <c r="D16" s="1305"/>
      <c r="E16" s="1303"/>
      <c r="F16" s="79"/>
      <c r="G16" s="409"/>
      <c r="H16" s="1233"/>
      <c r="I16" s="1234"/>
      <c r="J16" s="1234"/>
      <c r="K16" s="1235"/>
      <c r="L16" s="1190"/>
      <c r="M16" s="1272"/>
      <c r="N16" s="96"/>
      <c r="O16" s="84"/>
      <c r="P16" s="84"/>
      <c r="Q16" s="84"/>
      <c r="R16" s="1300"/>
      <c r="S16" s="1268"/>
      <c r="T16" s="33"/>
      <c r="V16" s="1315"/>
      <c r="W16" s="1236"/>
      <c r="X16" s="1232"/>
      <c r="Y16" s="1266"/>
      <c r="Z16" s="1256"/>
      <c r="AA16" s="1257"/>
      <c r="AB16" s="1257"/>
      <c r="AC16" s="1257"/>
      <c r="AD16" s="1257"/>
      <c r="AE16" s="1258"/>
    </row>
    <row r="17" spans="1:31" ht="30" customHeight="1" thickBot="1" x14ac:dyDescent="0.3">
      <c r="A17" s="1238"/>
      <c r="B17" s="1206"/>
      <c r="C17" s="1314"/>
      <c r="D17" s="1306"/>
      <c r="E17" s="1304"/>
      <c r="F17" s="80"/>
      <c r="G17" s="410"/>
      <c r="H17" s="1269"/>
      <c r="I17" s="1270"/>
      <c r="J17" s="1270"/>
      <c r="K17" s="1270"/>
      <c r="L17" s="1191"/>
      <c r="M17" s="1273"/>
      <c r="N17" s="293"/>
      <c r="O17" s="293"/>
      <c r="P17" s="293"/>
      <c r="Q17" s="293"/>
      <c r="R17" s="1300"/>
      <c r="S17" s="1268"/>
      <c r="T17" s="34"/>
      <c r="U17" s="35"/>
      <c r="V17" s="1316"/>
      <c r="W17" s="1237"/>
      <c r="X17" s="1232"/>
      <c r="Y17" s="1267"/>
      <c r="Z17" s="1259"/>
      <c r="AA17" s="1260"/>
      <c r="AB17" s="1260"/>
      <c r="AC17" s="1260"/>
      <c r="AD17" s="1260"/>
      <c r="AE17" s="1261"/>
    </row>
    <row r="18" spans="1:31" ht="41.25" customHeight="1" thickBot="1" x14ac:dyDescent="0.3">
      <c r="B18" s="226"/>
      <c r="R18" s="226"/>
      <c r="S18" s="226"/>
      <c r="X18" s="226"/>
      <c r="Y18" s="226"/>
    </row>
    <row r="19" spans="1:31" ht="18.75" customHeight="1" thickBot="1" x14ac:dyDescent="0.3">
      <c r="A19" s="1033" t="s">
        <v>214</v>
      </c>
      <c r="B19" s="934"/>
      <c r="C19" s="1033" t="s">
        <v>215</v>
      </c>
      <c r="D19" s="934"/>
      <c r="E19" s="934"/>
      <c r="F19" s="934"/>
      <c r="G19" s="934"/>
      <c r="H19" s="934"/>
      <c r="I19" s="934"/>
      <c r="J19" s="934"/>
      <c r="K19" s="934"/>
      <c r="L19" s="58"/>
      <c r="M19" s="1204" t="s">
        <v>308</v>
      </c>
      <c r="N19" s="1035"/>
      <c r="O19" s="1033" t="s">
        <v>139</v>
      </c>
      <c r="P19" s="935"/>
      <c r="Q19" s="1033" t="s">
        <v>163</v>
      </c>
      <c r="R19" s="934"/>
      <c r="S19" s="934"/>
      <c r="T19" s="934"/>
      <c r="U19" s="934"/>
      <c r="V19" s="934"/>
      <c r="W19" s="934"/>
      <c r="X19" s="934"/>
      <c r="Y19" s="934"/>
      <c r="Z19" s="934"/>
      <c r="AA19" s="934"/>
      <c r="AB19" s="934"/>
      <c r="AC19" s="934"/>
      <c r="AD19" s="934"/>
      <c r="AE19" s="935"/>
    </row>
    <row r="20" spans="1:31" ht="13.8" x14ac:dyDescent="0.25">
      <c r="A20" s="1036" t="str">
        <f>VLOOKUP(M20,ASIGNATURAS!$F$1:$L$1022, 3, FALSE)</f>
        <v>CALCULO</v>
      </c>
      <c r="B20" s="1292"/>
      <c r="C20" s="1057" t="str">
        <f>VLOOKUP(M20,ASIGNATURAS!$F$1:$L$1022, 4, FALSE)</f>
        <v>Cálculo</v>
      </c>
      <c r="D20" s="1057"/>
      <c r="E20" s="1057"/>
      <c r="F20" s="1057"/>
      <c r="G20" s="1057"/>
      <c r="H20" s="1057"/>
      <c r="I20" s="1057"/>
      <c r="J20" s="1057"/>
      <c r="K20" s="1057"/>
      <c r="L20" s="1057"/>
      <c r="M20" s="1200">
        <v>9115</v>
      </c>
      <c r="N20" s="1200"/>
      <c r="O20" s="1200">
        <f>VLOOKUP(M20,ASIGNATURAS!$F$1:$L$1022, 5, FALSE)</f>
        <v>6</v>
      </c>
      <c r="P20" s="1200"/>
      <c r="Q20" s="1057" t="str">
        <f>VLOOKUP(M20,ASIGNATURAS!$F$1:$L$1022, 6, FALSE)</f>
        <v>Jose Luis Fernández, Silvia Alvárez de Eulate</v>
      </c>
      <c r="R20" s="1057"/>
      <c r="S20" s="1057"/>
      <c r="T20" s="1057"/>
      <c r="U20" s="1057"/>
      <c r="V20" s="1057"/>
      <c r="W20" s="1057"/>
      <c r="X20" s="1057"/>
      <c r="Y20" s="1057"/>
      <c r="Z20" s="1057"/>
      <c r="AA20" s="1057"/>
      <c r="AB20" s="1057"/>
      <c r="AC20" s="1057"/>
      <c r="AD20" s="1057"/>
      <c r="AE20" s="1058"/>
    </row>
    <row r="21" spans="1:31" ht="13.8" x14ac:dyDescent="0.25">
      <c r="A21" s="1188" t="str">
        <f>VLOOKUP(M21,ASIGNATURAS!$F$1:$L$1022, 3, FALSE)</f>
        <v>FISICA I</v>
      </c>
      <c r="B21" s="1203"/>
      <c r="C21" s="982" t="str">
        <f>VLOOKUP(M21,ASIGNATURAS!$F$1:$L$1022, 4, FALSE)</f>
        <v>Física I</v>
      </c>
      <c r="D21" s="982"/>
      <c r="E21" s="982"/>
      <c r="F21" s="982"/>
      <c r="G21" s="982"/>
      <c r="H21" s="982"/>
      <c r="I21" s="982"/>
      <c r="J21" s="982"/>
      <c r="K21" s="982"/>
      <c r="L21" s="982"/>
      <c r="M21" s="1205">
        <v>9116</v>
      </c>
      <c r="N21" s="1205"/>
      <c r="O21" s="1205">
        <f>VLOOKUP(M21,ASIGNATURAS!$F$1:$L$1022, 5, FALSE)</f>
        <v>6</v>
      </c>
      <c r="P21" s="1205"/>
      <c r="Q21" s="982" t="str">
        <f>VLOOKUP(M21,ASIGNATURAS!$F$1:$L$1022, 6, FALSE)</f>
        <v>María del Mar Chichón González</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EXP. GRAFICA I</v>
      </c>
      <c r="B22" s="1203"/>
      <c r="C22" s="982" t="str">
        <f>VLOOKUP(M22,ASIGNATURAS!$F$1:$L$1022, 4, FALSE)</f>
        <v xml:space="preserve">Expresión Gráfica E/I (Español/Inglés) </v>
      </c>
      <c r="D22" s="982"/>
      <c r="E22" s="982"/>
      <c r="F22" s="982"/>
      <c r="G22" s="982"/>
      <c r="H22" s="982"/>
      <c r="I22" s="982"/>
      <c r="J22" s="982"/>
      <c r="K22" s="982"/>
      <c r="L22" s="982"/>
      <c r="M22" s="1205">
        <v>9117</v>
      </c>
      <c r="N22" s="1205"/>
      <c r="O22" s="1205">
        <f>VLOOKUP(M22,ASIGNATURAS!$F$1:$L$1022, 5, FALSE)</f>
        <v>6</v>
      </c>
      <c r="P22" s="1205"/>
      <c r="Q22" s="982" t="str">
        <f>VLOOKUP(M22,ASIGNATURAS!$F$1:$L$1022, 6, FALSE)</f>
        <v>M. Esther Baños García, Esteban García</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INFORMATICA</v>
      </c>
      <c r="B23" s="1203"/>
      <c r="C23" s="982" t="str">
        <f>VLOOKUP(M23,ASIGNATURAS!$F$1:$L$1022, 4, FALSE)</f>
        <v>Informática Básica</v>
      </c>
      <c r="D23" s="982"/>
      <c r="E23" s="982"/>
      <c r="F23" s="982"/>
      <c r="G23" s="982"/>
      <c r="H23" s="982"/>
      <c r="I23" s="982"/>
      <c r="J23" s="982"/>
      <c r="K23" s="982"/>
      <c r="L23" s="982"/>
      <c r="M23" s="1205">
        <v>9118</v>
      </c>
      <c r="N23" s="1205"/>
      <c r="O23" s="1205">
        <f>VLOOKUP(M23,ASIGNATURAS!$F$1:$L$1022, 5, FALSE)</f>
        <v>6</v>
      </c>
      <c r="P23" s="1205"/>
      <c r="Q23" s="982" t="str">
        <f>VLOOKUP(M23,ASIGNATURAS!$F$1:$L$1022, 6, FALSE)</f>
        <v>Ángel Arroyo Puente,</v>
      </c>
      <c r="R23" s="982"/>
      <c r="S23" s="982"/>
      <c r="T23" s="982"/>
      <c r="U23" s="982"/>
      <c r="V23" s="982"/>
      <c r="W23" s="982"/>
      <c r="X23" s="982"/>
      <c r="Y23" s="982"/>
      <c r="Z23" s="982"/>
      <c r="AA23" s="982"/>
      <c r="AB23" s="982"/>
      <c r="AC23" s="982"/>
      <c r="AD23" s="982"/>
      <c r="AE23" s="983"/>
    </row>
    <row r="24" spans="1:31" ht="14.4" thickBot="1" x14ac:dyDescent="0.3">
      <c r="A24" s="1201" t="str">
        <f>VLOOKUP(M24,ASIGNATURAS!$F$1:$L$1022, 3, FALSE)</f>
        <v>QUIMICA</v>
      </c>
      <c r="B24" s="1202"/>
      <c r="C24" s="1023" t="str">
        <f>VLOOKUP(M24,ASIGNATURAS!$F$1:$L$1022, 4, FALSE)</f>
        <v xml:space="preserve">Química </v>
      </c>
      <c r="D24" s="1023"/>
      <c r="E24" s="1023"/>
      <c r="F24" s="1023"/>
      <c r="G24" s="1023"/>
      <c r="H24" s="1023"/>
      <c r="I24" s="1023"/>
      <c r="J24" s="1023"/>
      <c r="K24" s="1023"/>
      <c r="L24" s="1023"/>
      <c r="M24" s="1322">
        <v>9119</v>
      </c>
      <c r="N24" s="1322"/>
      <c r="O24" s="1322">
        <f>VLOOKUP(M24,ASIGNATURAS!$F$1:$L$1022, 5, FALSE)</f>
        <v>6</v>
      </c>
      <c r="P24" s="1322"/>
      <c r="Q24" s="1023" t="str">
        <f>VLOOKUP(M24,ASIGNATURAS!$F$1:$L$1022, 6, FALSE)</f>
        <v>Luis Marcos Naveira</v>
      </c>
      <c r="R24" s="1023"/>
      <c r="S24" s="1023"/>
      <c r="T24" s="1023"/>
      <c r="U24" s="1023"/>
      <c r="V24" s="1023"/>
      <c r="W24" s="1023"/>
      <c r="X24" s="1023"/>
      <c r="Y24" s="1023"/>
      <c r="Z24" s="1023"/>
      <c r="AA24" s="1023"/>
      <c r="AB24" s="1023"/>
      <c r="AC24" s="1023"/>
      <c r="AD24" s="1023"/>
      <c r="AE24" s="1024"/>
    </row>
    <row r="27" spans="1:31" ht="24" customHeight="1" x14ac:dyDescent="0.25">
      <c r="A27" s="1323" t="s">
        <v>1011</v>
      </c>
      <c r="B27" s="1323"/>
      <c r="C27" s="1323"/>
      <c r="D27" s="1323"/>
      <c r="E27" s="1323"/>
    </row>
    <row r="28" spans="1:31" ht="24" customHeight="1" x14ac:dyDescent="0.25">
      <c r="A28" s="1319" t="s">
        <v>1010</v>
      </c>
      <c r="B28" s="1319"/>
      <c r="C28" s="1319"/>
      <c r="D28" s="1319"/>
      <c r="E28" s="1319"/>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35" t="str">
        <f>VLOOKUP(A37,ASIGNATURAS!$A$2:$D$151, 3, FALSE)</f>
        <v>1º Grado en Ingeniería de Organización Industrial</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7"/>
      <c r="Z34" s="975" t="str">
        <f>Z1</f>
        <v>Curso 2024-2025</v>
      </c>
      <c r="AA34" s="976"/>
      <c r="AB34" s="976"/>
      <c r="AC34" s="976"/>
      <c r="AD34" s="976"/>
      <c r="AE34" s="977"/>
    </row>
    <row r="35" spans="1:40"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194" t="s">
        <v>827</v>
      </c>
      <c r="AA35" s="1195"/>
      <c r="AB35" s="1195"/>
      <c r="AC35" s="1195"/>
      <c r="AD35" s="1195"/>
      <c r="AE35" s="1195"/>
      <c r="AF35" s="1196"/>
    </row>
    <row r="36" spans="1:40"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4"/>
      <c r="Z36" s="1197"/>
      <c r="AA36" s="1198"/>
      <c r="AB36" s="1198"/>
      <c r="AC36" s="1198"/>
      <c r="AD36" s="1198"/>
      <c r="AE36" s="1198"/>
      <c r="AF36" s="1199"/>
    </row>
    <row r="37" spans="1:40" ht="38.25" customHeight="1" thickBot="1" x14ac:dyDescent="0.3">
      <c r="A37" s="9" t="s">
        <v>59</v>
      </c>
    </row>
    <row r="38" spans="1:40" s="2" customFormat="1" ht="24" customHeight="1" thickBot="1" x14ac:dyDescent="0.3">
      <c r="A38" s="19" t="s">
        <v>1</v>
      </c>
      <c r="B38" s="975" t="s">
        <v>2</v>
      </c>
      <c r="C38" s="976"/>
      <c r="D38" s="976"/>
      <c r="E38" s="976"/>
      <c r="F38" s="976"/>
      <c r="G38" s="977"/>
      <c r="H38" s="1064" t="s">
        <v>3</v>
      </c>
      <c r="I38" s="1065"/>
      <c r="J38" s="1065"/>
      <c r="K38" s="1065"/>
      <c r="L38" s="1065"/>
      <c r="M38" s="1066"/>
      <c r="N38" s="1064" t="s">
        <v>135</v>
      </c>
      <c r="O38" s="1065"/>
      <c r="P38" s="1065"/>
      <c r="Q38" s="1065"/>
      <c r="R38" s="1065"/>
      <c r="S38" s="1066"/>
      <c r="T38" s="1064" t="s">
        <v>4</v>
      </c>
      <c r="U38" s="1065"/>
      <c r="V38" s="1065"/>
      <c r="W38" s="1065"/>
      <c r="X38" s="1065"/>
      <c r="Y38" s="1066"/>
      <c r="Z38" s="975" t="s">
        <v>5</v>
      </c>
      <c r="AA38" s="976"/>
      <c r="AB38" s="976"/>
      <c r="AC38" s="976"/>
      <c r="AD38" s="976"/>
      <c r="AE38" s="977"/>
    </row>
    <row r="39" spans="1:40" ht="35.4" customHeight="1" x14ac:dyDescent="0.3">
      <c r="A39" s="1320" t="s">
        <v>10</v>
      </c>
      <c r="B39" s="829"/>
      <c r="C39" s="829"/>
      <c r="D39" s="898" t="s">
        <v>625</v>
      </c>
      <c r="E39" s="1328" t="s">
        <v>160</v>
      </c>
      <c r="F39" s="829"/>
      <c r="G39" s="830"/>
      <c r="H39" s="1002" t="s">
        <v>13</v>
      </c>
      <c r="I39" s="1003"/>
      <c r="J39" s="1003"/>
      <c r="K39" s="1003"/>
      <c r="L39" s="1003"/>
      <c r="M39" s="1004"/>
      <c r="N39" s="1002" t="s">
        <v>24</v>
      </c>
      <c r="O39" s="1003"/>
      <c r="P39" s="1003"/>
      <c r="Q39" s="1003"/>
      <c r="R39" s="1003"/>
      <c r="S39" s="1004"/>
      <c r="T39" s="1003" t="s">
        <v>24</v>
      </c>
      <c r="U39" s="1003"/>
      <c r="V39" s="1003"/>
      <c r="W39" s="1003"/>
      <c r="X39" s="1003"/>
      <c r="Y39" s="1004"/>
      <c r="Z39" s="957" t="s">
        <v>27</v>
      </c>
      <c r="AA39" s="957"/>
      <c r="AB39" s="1146"/>
      <c r="AC39" s="1325" t="s">
        <v>27</v>
      </c>
      <c r="AD39" s="1326"/>
      <c r="AE39" s="1327"/>
      <c r="AF39" s="33"/>
    </row>
    <row r="40" spans="1:40" ht="34.799999999999997" customHeight="1" x14ac:dyDescent="0.3">
      <c r="A40" s="1321"/>
      <c r="B40" s="499"/>
      <c r="C40" s="375"/>
      <c r="D40" s="1331" t="s">
        <v>27</v>
      </c>
      <c r="E40" s="1329"/>
      <c r="F40" s="375"/>
      <c r="G40" s="376"/>
      <c r="H40" s="951" t="s">
        <v>148</v>
      </c>
      <c r="I40" s="952"/>
      <c r="J40" s="952"/>
      <c r="K40" s="952"/>
      <c r="L40" s="952"/>
      <c r="M40" s="953"/>
      <c r="N40" s="951" t="s">
        <v>148</v>
      </c>
      <c r="O40" s="952"/>
      <c r="P40" s="952"/>
      <c r="Q40" s="952"/>
      <c r="R40" s="952"/>
      <c r="S40" s="953"/>
      <c r="T40" s="951" t="s">
        <v>148</v>
      </c>
      <c r="U40" s="952"/>
      <c r="V40" s="952"/>
      <c r="W40" s="952"/>
      <c r="X40" s="952"/>
      <c r="Y40" s="953"/>
      <c r="Z40" s="952" t="s">
        <v>148</v>
      </c>
      <c r="AA40" s="952"/>
      <c r="AB40" s="1047"/>
      <c r="AC40" s="1278" t="s">
        <v>153</v>
      </c>
      <c r="AD40" s="1077"/>
      <c r="AE40" s="1216"/>
      <c r="AF40" s="33"/>
      <c r="AL40" s="995"/>
      <c r="AM40" s="995"/>
      <c r="AN40" s="995"/>
    </row>
    <row r="41" spans="1:40" ht="43.2" customHeight="1" x14ac:dyDescent="0.3">
      <c r="A41" s="1321" t="s">
        <v>11</v>
      </c>
      <c r="B41" s="423"/>
      <c r="C41" s="423"/>
      <c r="D41" s="1331"/>
      <c r="E41" s="1329"/>
      <c r="F41" s="862"/>
      <c r="G41" s="863"/>
      <c r="H41" s="957" t="s">
        <v>13</v>
      </c>
      <c r="I41" s="957"/>
      <c r="J41" s="957"/>
      <c r="K41" s="957"/>
      <c r="L41" s="957"/>
      <c r="M41" s="958"/>
      <c r="N41" s="963" t="s">
        <v>25</v>
      </c>
      <c r="O41" s="957"/>
      <c r="P41" s="957"/>
      <c r="Q41" s="957"/>
      <c r="R41" s="957"/>
      <c r="S41" s="958"/>
      <c r="T41" s="957" t="s">
        <v>25</v>
      </c>
      <c r="U41" s="957"/>
      <c r="V41" s="957"/>
      <c r="W41" s="957"/>
      <c r="X41" s="957"/>
      <c r="Y41" s="958"/>
      <c r="Z41" s="963" t="s">
        <v>27</v>
      </c>
      <c r="AA41" s="957"/>
      <c r="AB41" s="1146"/>
      <c r="AC41" s="1365" t="s">
        <v>27</v>
      </c>
      <c r="AD41" s="1366"/>
      <c r="AE41" s="1367"/>
      <c r="AF41" s="33"/>
      <c r="AG41" s="33"/>
      <c r="AL41" s="997"/>
      <c r="AM41" s="997"/>
      <c r="AN41" s="997"/>
    </row>
    <row r="42" spans="1:40" ht="34.5" customHeight="1" x14ac:dyDescent="0.25">
      <c r="A42" s="1100"/>
      <c r="B42" s="375"/>
      <c r="C42" s="375"/>
      <c r="D42" s="1332"/>
      <c r="E42" s="1330"/>
      <c r="F42" s="375"/>
      <c r="G42" s="864"/>
      <c r="H42" s="951" t="s">
        <v>148</v>
      </c>
      <c r="I42" s="952"/>
      <c r="J42" s="952"/>
      <c r="K42" s="952"/>
      <c r="L42" s="952"/>
      <c r="M42" s="953"/>
      <c r="N42" s="951" t="s">
        <v>148</v>
      </c>
      <c r="O42" s="952"/>
      <c r="P42" s="952"/>
      <c r="Q42" s="952"/>
      <c r="R42" s="952"/>
      <c r="S42" s="953"/>
      <c r="T42" s="951" t="s">
        <v>148</v>
      </c>
      <c r="U42" s="952"/>
      <c r="V42" s="952"/>
      <c r="W42" s="952"/>
      <c r="X42" s="952"/>
      <c r="Y42" s="953"/>
      <c r="Z42" s="952" t="s">
        <v>148</v>
      </c>
      <c r="AA42" s="952"/>
      <c r="AB42" s="1047"/>
      <c r="AC42" s="1278" t="s">
        <v>153</v>
      </c>
      <c r="AD42" s="1077"/>
      <c r="AE42" s="1216"/>
      <c r="AF42" s="33"/>
    </row>
    <row r="43" spans="1:40" ht="34.5" customHeight="1" x14ac:dyDescent="0.3">
      <c r="A43" s="1321" t="s">
        <v>6</v>
      </c>
      <c r="B43" s="342" t="s">
        <v>569</v>
      </c>
      <c r="C43" s="1348" t="s">
        <v>559</v>
      </c>
      <c r="D43" s="191"/>
      <c r="E43" s="1339"/>
      <c r="F43" s="161" t="s">
        <v>571</v>
      </c>
      <c r="G43" s="1183" t="s">
        <v>1292</v>
      </c>
      <c r="H43" s="995" t="s">
        <v>26</v>
      </c>
      <c r="I43" s="995"/>
      <c r="J43" s="995"/>
      <c r="K43" s="995"/>
      <c r="L43" s="995"/>
      <c r="M43" s="996"/>
      <c r="N43" s="160" t="s">
        <v>569</v>
      </c>
      <c r="O43" s="1239" t="s">
        <v>1293</v>
      </c>
      <c r="P43" s="342" t="s">
        <v>570</v>
      </c>
      <c r="Q43" s="1324" t="s">
        <v>1296</v>
      </c>
      <c r="R43" s="342" t="s">
        <v>571</v>
      </c>
      <c r="S43" s="1271" t="s">
        <v>559</v>
      </c>
      <c r="T43" s="342" t="s">
        <v>569</v>
      </c>
      <c r="U43" s="1324" t="s">
        <v>1296</v>
      </c>
      <c r="V43" s="342" t="s">
        <v>570</v>
      </c>
      <c r="W43" s="1239" t="s">
        <v>559</v>
      </c>
      <c r="X43" s="342" t="s">
        <v>571</v>
      </c>
      <c r="Y43" s="1239" t="s">
        <v>1295</v>
      </c>
      <c r="Z43" s="380"/>
      <c r="AA43" s="1356"/>
      <c r="AB43" s="191"/>
      <c r="AC43" s="1356"/>
      <c r="AD43" s="161" t="s">
        <v>571</v>
      </c>
      <c r="AE43" s="1183" t="s">
        <v>1296</v>
      </c>
      <c r="AI43" s="10"/>
    </row>
    <row r="44" spans="1:40" ht="34.5" customHeight="1" x14ac:dyDescent="0.25">
      <c r="A44" s="1321"/>
      <c r="B44" s="1309" t="s">
        <v>25</v>
      </c>
      <c r="C44" s="1224"/>
      <c r="D44" s="1352"/>
      <c r="E44" s="1149"/>
      <c r="F44" s="1190" t="s">
        <v>26</v>
      </c>
      <c r="G44" s="1184"/>
      <c r="H44" s="951" t="s">
        <v>150</v>
      </c>
      <c r="I44" s="952"/>
      <c r="J44" s="952"/>
      <c r="K44" s="952"/>
      <c r="L44" s="952"/>
      <c r="M44" s="953"/>
      <c r="N44" s="1192" t="s">
        <v>13</v>
      </c>
      <c r="O44" s="1240"/>
      <c r="P44" s="1309" t="s">
        <v>24</v>
      </c>
      <c r="Q44" s="1051"/>
      <c r="R44" s="1309" t="s">
        <v>25</v>
      </c>
      <c r="S44" s="1272"/>
      <c r="T44" s="1309" t="s">
        <v>24</v>
      </c>
      <c r="U44" s="1051"/>
      <c r="V44" s="1309" t="s">
        <v>25</v>
      </c>
      <c r="W44" s="1240"/>
      <c r="X44" s="1309" t="s">
        <v>13</v>
      </c>
      <c r="Y44" s="1240"/>
      <c r="Z44" s="1209"/>
      <c r="AA44" s="1357"/>
      <c r="AB44" s="1263"/>
      <c r="AC44" s="1357"/>
      <c r="AD44" s="1190" t="s">
        <v>24</v>
      </c>
      <c r="AE44" s="1184"/>
    </row>
    <row r="45" spans="1:40" ht="34.5" customHeight="1" x14ac:dyDescent="0.3">
      <c r="A45" s="1161" t="s">
        <v>7</v>
      </c>
      <c r="B45" s="1192"/>
      <c r="C45" s="1224"/>
      <c r="D45" s="1352"/>
      <c r="E45" s="1149"/>
      <c r="F45" s="1190"/>
      <c r="G45" s="1184"/>
      <c r="H45" s="995" t="s">
        <v>26</v>
      </c>
      <c r="I45" s="995"/>
      <c r="J45" s="995"/>
      <c r="K45" s="995"/>
      <c r="L45" s="995"/>
      <c r="M45" s="996"/>
      <c r="N45" s="1192"/>
      <c r="O45" s="1240"/>
      <c r="P45" s="1309"/>
      <c r="Q45" s="1051"/>
      <c r="R45" s="1309"/>
      <c r="S45" s="1272"/>
      <c r="T45" s="1309"/>
      <c r="U45" s="1051"/>
      <c r="V45" s="1309"/>
      <c r="W45" s="1240"/>
      <c r="X45" s="1309"/>
      <c r="Y45" s="1240"/>
      <c r="Z45" s="1209"/>
      <c r="AA45" s="1357"/>
      <c r="AB45" s="1263"/>
      <c r="AC45" s="1357"/>
      <c r="AD45" s="1190"/>
      <c r="AE45" s="1184"/>
      <c r="AG45" s="436"/>
      <c r="AH45" s="436"/>
      <c r="AI45" s="436"/>
      <c r="AJ45" s="436"/>
      <c r="AK45" s="436"/>
      <c r="AL45" s="436"/>
      <c r="AM45" s="436"/>
      <c r="AN45" s="435"/>
    </row>
    <row r="46" spans="1:40" ht="34.5" customHeight="1" x14ac:dyDescent="0.25">
      <c r="A46" s="1161"/>
      <c r="B46" s="1193"/>
      <c r="C46" s="1225"/>
      <c r="D46" s="1353"/>
      <c r="E46" s="1340"/>
      <c r="F46" s="1226"/>
      <c r="G46" s="1279"/>
      <c r="H46" s="951" t="s">
        <v>150</v>
      </c>
      <c r="I46" s="952"/>
      <c r="J46" s="952"/>
      <c r="K46" s="952"/>
      <c r="L46" s="952"/>
      <c r="M46" s="953"/>
      <c r="N46" s="1193"/>
      <c r="O46" s="1241"/>
      <c r="P46" s="1310"/>
      <c r="Q46" s="1052"/>
      <c r="R46" s="1310"/>
      <c r="S46" s="1291"/>
      <c r="T46" s="1310"/>
      <c r="U46" s="1051"/>
      <c r="V46" s="1310"/>
      <c r="W46" s="1241"/>
      <c r="X46" s="1310"/>
      <c r="Y46" s="1241"/>
      <c r="Z46" s="1210"/>
      <c r="AA46" s="1358"/>
      <c r="AB46" s="1264"/>
      <c r="AC46" s="1358"/>
      <c r="AD46" s="1226"/>
      <c r="AE46" s="1279"/>
      <c r="AK46" s="652"/>
      <c r="AL46" s="1354"/>
    </row>
    <row r="47" spans="1:40" ht="34.5" customHeight="1" x14ac:dyDescent="0.25">
      <c r="A47" s="1321" t="s">
        <v>8</v>
      </c>
      <c r="B47" s="160" t="s">
        <v>569</v>
      </c>
      <c r="C47" s="1324" t="s">
        <v>1292</v>
      </c>
      <c r="D47" s="717"/>
      <c r="E47" s="717"/>
      <c r="F47" s="717"/>
      <c r="G47" s="718"/>
      <c r="H47" s="125"/>
      <c r="I47" s="1349"/>
      <c r="J47" s="191"/>
      <c r="K47" s="1349"/>
      <c r="L47" s="137"/>
      <c r="M47" s="1346"/>
      <c r="O47" s="195"/>
      <c r="P47" s="161" t="s">
        <v>570</v>
      </c>
      <c r="Q47" s="1239" t="s">
        <v>1294</v>
      </c>
      <c r="R47" s="510"/>
      <c r="S47" s="1343"/>
      <c r="U47" s="193"/>
      <c r="V47" s="125"/>
      <c r="W47" s="1359"/>
      <c r="X47" s="161" t="s">
        <v>569</v>
      </c>
      <c r="Y47" s="1333" t="s">
        <v>160</v>
      </c>
      <c r="Z47" s="224"/>
      <c r="AA47" s="1362"/>
      <c r="AB47" s="473"/>
      <c r="AC47" s="473"/>
      <c r="AD47" s="511"/>
      <c r="AE47" s="567"/>
      <c r="AK47" s="1355"/>
      <c r="AL47" s="1354"/>
    </row>
    <row r="48" spans="1:40" ht="34.5" customHeight="1" x14ac:dyDescent="0.25">
      <c r="A48" s="1321"/>
      <c r="B48" s="1192" t="s">
        <v>26</v>
      </c>
      <c r="C48" s="1051"/>
      <c r="D48" s="716"/>
      <c r="E48" s="716"/>
      <c r="F48" s="716"/>
      <c r="G48" s="719"/>
      <c r="H48" s="1360"/>
      <c r="I48" s="1350"/>
      <c r="J48" s="1263"/>
      <c r="K48" s="1350"/>
      <c r="L48" s="1336"/>
      <c r="M48" s="1346"/>
      <c r="P48" s="1190" t="s">
        <v>13</v>
      </c>
      <c r="Q48" s="1240"/>
      <c r="R48" s="1341"/>
      <c r="S48" s="1344"/>
      <c r="U48" s="20"/>
      <c r="V48" s="1360"/>
      <c r="W48" s="1207"/>
      <c r="X48" s="1190" t="s">
        <v>27</v>
      </c>
      <c r="Y48" s="1334"/>
      <c r="Z48" s="1368"/>
      <c r="AA48" s="1363"/>
      <c r="AB48" s="296"/>
      <c r="AC48" s="296"/>
      <c r="AD48" s="296"/>
      <c r="AE48" s="670"/>
      <c r="AK48" s="1355"/>
      <c r="AL48" s="1354"/>
    </row>
    <row r="49" spans="1:38" ht="34.5" customHeight="1" x14ac:dyDescent="0.25">
      <c r="A49" s="1321" t="s">
        <v>9</v>
      </c>
      <c r="B49" s="1192"/>
      <c r="C49" s="1051"/>
      <c r="G49" s="32"/>
      <c r="H49" s="1360"/>
      <c r="I49" s="1350"/>
      <c r="J49" s="1263"/>
      <c r="K49" s="1350"/>
      <c r="L49" s="1336"/>
      <c r="M49" s="1346"/>
      <c r="P49" s="1190"/>
      <c r="Q49" s="1240"/>
      <c r="R49" s="1341"/>
      <c r="S49" s="1344"/>
      <c r="V49" s="1360"/>
      <c r="W49" s="1207"/>
      <c r="X49" s="1190"/>
      <c r="Y49" s="1334"/>
      <c r="Z49" s="1368"/>
      <c r="AA49" s="1363"/>
      <c r="AB49" s="738"/>
      <c r="AC49" s="511"/>
      <c r="AD49" s="511"/>
      <c r="AE49" s="567"/>
      <c r="AK49" s="1355"/>
      <c r="AL49" s="1354"/>
    </row>
    <row r="50" spans="1:38" ht="33" customHeight="1" thickBot="1" x14ac:dyDescent="0.3">
      <c r="A50" s="1338"/>
      <c r="B50" s="1206"/>
      <c r="C50" s="1052"/>
      <c r="D50" s="35"/>
      <c r="E50" s="35"/>
      <c r="F50" s="35"/>
      <c r="G50" s="36"/>
      <c r="H50" s="1361"/>
      <c r="I50" s="1351"/>
      <c r="J50" s="1264"/>
      <c r="K50" s="1370"/>
      <c r="L50" s="1337"/>
      <c r="M50" s="1347"/>
      <c r="O50" s="220"/>
      <c r="P50" s="1226"/>
      <c r="Q50" s="1314"/>
      <c r="R50" s="1342"/>
      <c r="S50" s="1345"/>
      <c r="V50" s="1371"/>
      <c r="W50" s="1208"/>
      <c r="X50" s="1191"/>
      <c r="Y50" s="1335"/>
      <c r="Z50" s="1369"/>
      <c r="AA50" s="1364"/>
      <c r="AB50" s="293"/>
      <c r="AC50" s="293"/>
      <c r="AD50" s="293"/>
      <c r="AE50" s="294"/>
    </row>
    <row r="51" spans="1:38" s="2" customFormat="1" ht="19.5" hidden="1" customHeight="1" thickBot="1" x14ac:dyDescent="0.3">
      <c r="A51" s="19" t="s">
        <v>1</v>
      </c>
      <c r="B51" s="1064" t="s">
        <v>2</v>
      </c>
      <c r="C51" s="1065"/>
      <c r="D51" s="1065"/>
      <c r="E51" s="1065"/>
      <c r="F51" s="1065"/>
      <c r="G51" s="1066"/>
      <c r="H51" s="1064" t="s">
        <v>3</v>
      </c>
      <c r="I51" s="1065"/>
      <c r="J51" s="1065"/>
      <c r="K51" s="1065"/>
      <c r="L51" s="1065"/>
      <c r="M51" s="1066"/>
      <c r="N51" s="1064" t="s">
        <v>135</v>
      </c>
      <c r="O51" s="1065"/>
      <c r="P51" s="1065"/>
      <c r="Q51" s="1065"/>
      <c r="R51" s="1065"/>
      <c r="S51" s="1066"/>
      <c r="T51" s="1064" t="s">
        <v>4</v>
      </c>
      <c r="U51" s="1065"/>
      <c r="V51" s="1065"/>
      <c r="W51" s="1065"/>
      <c r="X51" s="1065"/>
      <c r="Y51" s="1066"/>
      <c r="Z51" s="1064" t="s">
        <v>5</v>
      </c>
      <c r="AA51" s="1065"/>
      <c r="AB51" s="1065"/>
      <c r="AC51" s="1065"/>
      <c r="AD51" s="1065"/>
      <c r="AE51" s="1066"/>
      <c r="AG51"/>
      <c r="AH51"/>
      <c r="AI51"/>
    </row>
    <row r="52" spans="1:38" ht="0.75" hidden="1" customHeight="1" thickBot="1" x14ac:dyDescent="0.3">
      <c r="A52" s="1128" t="s">
        <v>183</v>
      </c>
      <c r="H52" s="10"/>
      <c r="I52" s="10"/>
      <c r="J52" s="10"/>
      <c r="K52" s="10"/>
      <c r="L52" s="10"/>
      <c r="M52" s="32"/>
      <c r="T52" s="33"/>
      <c r="Z52" s="33"/>
      <c r="AE52" s="32"/>
      <c r="AF52" s="33"/>
    </row>
    <row r="53" spans="1:38" ht="32.25" hidden="1" customHeight="1" thickBot="1" x14ac:dyDescent="0.3">
      <c r="A53" s="1105"/>
      <c r="H53" s="601"/>
      <c r="I53" s="10"/>
      <c r="J53" s="10"/>
      <c r="K53" s="1149"/>
      <c r="L53" s="10"/>
      <c r="N53" s="33"/>
      <c r="S53" s="32"/>
      <c r="Z53" s="33"/>
      <c r="AE53" s="32"/>
      <c r="AF53" s="33"/>
    </row>
    <row r="54" spans="1:38" ht="27" hidden="1" customHeight="1" thickBot="1" x14ac:dyDescent="0.3">
      <c r="A54" s="1100" t="s">
        <v>182</v>
      </c>
      <c r="H54" s="10"/>
      <c r="I54" s="10"/>
      <c r="J54" s="1360"/>
      <c r="K54" s="1149"/>
      <c r="L54" s="10"/>
      <c r="N54" s="33"/>
      <c r="T54" s="33"/>
      <c r="Z54" s="33"/>
      <c r="AE54" s="32"/>
    </row>
    <row r="55" spans="1:38" ht="31.5" hidden="1" customHeight="1" thickBot="1" x14ac:dyDescent="0.3">
      <c r="A55" s="1105"/>
      <c r="H55" s="10"/>
      <c r="I55" s="10"/>
      <c r="J55" s="1360"/>
      <c r="K55" s="1149"/>
      <c r="L55" s="10"/>
      <c r="N55" s="33"/>
      <c r="S55" s="32"/>
      <c r="Z55" s="33"/>
      <c r="AE55" s="32"/>
    </row>
    <row r="56" spans="1:38" ht="28.5" hidden="1" customHeight="1" thickBot="1" x14ac:dyDescent="0.3">
      <c r="A56" s="1375" t="s">
        <v>184</v>
      </c>
      <c r="H56" s="10"/>
      <c r="I56" s="10"/>
      <c r="J56" s="1360"/>
      <c r="K56" s="1149"/>
      <c r="L56" s="10"/>
      <c r="M56" s="32"/>
      <c r="S56" s="32"/>
      <c r="Z56" s="33"/>
      <c r="AE56" s="32"/>
    </row>
    <row r="57" spans="1:38" ht="23.25" hidden="1" customHeight="1" thickBot="1" x14ac:dyDescent="0.3">
      <c r="A57" s="1375"/>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158" t="s">
        <v>214</v>
      </c>
      <c r="B59" s="1159"/>
      <c r="C59" s="1158" t="s">
        <v>215</v>
      </c>
      <c r="D59" s="1293"/>
      <c r="E59" s="1293"/>
      <c r="F59" s="1293"/>
      <c r="G59" s="1293"/>
      <c r="H59" s="1293"/>
      <c r="I59" s="1293"/>
      <c r="J59" s="1293"/>
      <c r="K59" s="1293"/>
      <c r="L59" s="58"/>
      <c r="M59" s="1373" t="s">
        <v>309</v>
      </c>
      <c r="N59" s="1374"/>
      <c r="O59" s="1158" t="s">
        <v>139</v>
      </c>
      <c r="P59" s="1159"/>
      <c r="Q59" s="1158" t="s">
        <v>163</v>
      </c>
      <c r="R59" s="1293"/>
      <c r="S59" s="1293"/>
      <c r="T59" s="1293"/>
      <c r="U59" s="1293"/>
      <c r="V59" s="1293"/>
      <c r="W59" s="1293"/>
      <c r="X59" s="1293"/>
      <c r="Y59" s="1293"/>
      <c r="Z59" s="1293"/>
      <c r="AA59" s="1293"/>
      <c r="AB59" s="1293"/>
      <c r="AC59" s="1293"/>
      <c r="AD59" s="1293"/>
      <c r="AE59" s="1159"/>
    </row>
    <row r="60" spans="1:38" ht="13.8" x14ac:dyDescent="0.25">
      <c r="A60" s="1391" t="str">
        <f>VLOOKUP(M60,ASIGNATURAS!$F$1:$L$1022, 3, FALSE)</f>
        <v>ALGEBRA</v>
      </c>
      <c r="B60" s="1392"/>
      <c r="C60" s="1176" t="str">
        <f>VLOOKUP(M60,ASIGNATURAS!$F$1:$L$1022, 4, FALSE)</f>
        <v>Álgebra y Ecuaciones Diferenciales</v>
      </c>
      <c r="D60" s="1177"/>
      <c r="E60" s="1177"/>
      <c r="F60" s="1177"/>
      <c r="G60" s="1177"/>
      <c r="H60" s="1177"/>
      <c r="I60" s="1177"/>
      <c r="J60" s="1177"/>
      <c r="K60" s="1177"/>
      <c r="L60" s="1178"/>
      <c r="M60" s="1156">
        <v>9120</v>
      </c>
      <c r="N60" s="1157"/>
      <c r="O60" s="1156">
        <f>VLOOKUP(M60,ASIGNATURAS!$F$1:$L$1022, 5, FALSE)</f>
        <v>6</v>
      </c>
      <c r="P60" s="1157"/>
      <c r="Q60" s="1176" t="str">
        <f>VLOOKUP(M60,ASIGNATURAS!$F$1:$L$1022, 6, FALSE)</f>
        <v>Javier Relancio</v>
      </c>
      <c r="R60" s="1177"/>
      <c r="S60" s="1177"/>
      <c r="T60" s="1177"/>
      <c r="U60" s="1177"/>
      <c r="V60" s="1177"/>
      <c r="W60" s="1177"/>
      <c r="X60" s="1177"/>
      <c r="Y60" s="1177"/>
      <c r="Z60" s="1177"/>
      <c r="AA60" s="1177"/>
      <c r="AB60" s="1177"/>
      <c r="AC60" s="1177"/>
      <c r="AD60" s="1177"/>
      <c r="AE60" s="1178"/>
    </row>
    <row r="61" spans="1:38" ht="13.8" x14ac:dyDescent="0.25">
      <c r="A61" s="1391" t="str">
        <f>VLOOKUP(M61,ASIGNATURAS!$F$1:$L$1022, 3, FALSE)</f>
        <v>FISICA II</v>
      </c>
      <c r="B61" s="1392"/>
      <c r="C61" s="1176" t="str">
        <f>VLOOKUP(M61,ASIGNATURAS!$F$1:$L$1022, 4, FALSE)</f>
        <v>Física II</v>
      </c>
      <c r="D61" s="1177"/>
      <c r="E61" s="1177"/>
      <c r="F61" s="1177"/>
      <c r="G61" s="1177"/>
      <c r="H61" s="1177"/>
      <c r="I61" s="1177"/>
      <c r="J61" s="1177"/>
      <c r="K61" s="1177"/>
      <c r="L61" s="1178"/>
      <c r="M61" s="1156">
        <v>9121</v>
      </c>
      <c r="N61" s="1157"/>
      <c r="O61" s="1156">
        <f>VLOOKUP(M61,ASIGNATURAS!$F$1:$L$1022, 5, FALSE)</f>
        <v>6</v>
      </c>
      <c r="P61" s="1157"/>
      <c r="Q61" s="1176" t="str">
        <f>VLOOKUP(M61,ASIGNATURAS!$F$1:$L$1022, 6, FALSE)</f>
        <v>Fernando Manuel García Reguera</v>
      </c>
      <c r="R61" s="1177"/>
      <c r="S61" s="1177"/>
      <c r="T61" s="1177"/>
      <c r="U61" s="1177"/>
      <c r="V61" s="1177"/>
      <c r="W61" s="1177"/>
      <c r="X61" s="1177"/>
      <c r="Y61" s="1177"/>
      <c r="Z61" s="1177"/>
      <c r="AA61" s="1177"/>
      <c r="AB61" s="1177"/>
      <c r="AC61" s="1177"/>
      <c r="AD61" s="1177"/>
      <c r="AE61" s="1178"/>
    </row>
    <row r="62" spans="1:38" ht="13.8" x14ac:dyDescent="0.25">
      <c r="A62" s="1391" t="str">
        <f>VLOOKUP(M62,ASIGNATURAS!$F$1:$L$1022, 3, FALSE)</f>
        <v>AMP. CALCULO</v>
      </c>
      <c r="B62" s="1392"/>
      <c r="C62" s="1176" t="str">
        <f>VLOOKUP(M62,ASIGNATURAS!$F$1:$L$1022, 4, FALSE)</f>
        <v>Ampliación de Cálculo y Geometría</v>
      </c>
      <c r="D62" s="1177"/>
      <c r="E62" s="1177"/>
      <c r="F62" s="1177"/>
      <c r="G62" s="1177"/>
      <c r="H62" s="1177"/>
      <c r="I62" s="1177"/>
      <c r="J62" s="1177"/>
      <c r="K62" s="1177"/>
      <c r="L62" s="1178"/>
      <c r="M62" s="1156">
        <v>9122</v>
      </c>
      <c r="N62" s="1157"/>
      <c r="O62" s="1156">
        <f>VLOOKUP(M62,ASIGNATURAS!$F$1:$L$1022, 5, FALSE)</f>
        <v>6</v>
      </c>
      <c r="P62" s="1157"/>
      <c r="Q62" s="1176" t="str">
        <f>VLOOKUP(M62,ASIGNATURAS!$F$1:$L$1022, 6, FALSE)</f>
        <v>Antonio Manzano Rodríguez</v>
      </c>
      <c r="R62" s="1177"/>
      <c r="S62" s="1177"/>
      <c r="T62" s="1177"/>
      <c r="U62" s="1177"/>
      <c r="V62" s="1177"/>
      <c r="W62" s="1177"/>
      <c r="X62" s="1177"/>
      <c r="Y62" s="1177"/>
      <c r="Z62" s="1177"/>
      <c r="AA62" s="1177"/>
      <c r="AB62" s="1177"/>
      <c r="AC62" s="1177"/>
      <c r="AD62" s="1177"/>
      <c r="AE62" s="1178"/>
    </row>
    <row r="63" spans="1:38" ht="13.8" x14ac:dyDescent="0.25">
      <c r="A63" s="1188" t="str">
        <f>VLOOKUP(M63,ASIGNATURAS!$F$1:$L$1022, 3, FALSE)</f>
        <v>ECONOMIA</v>
      </c>
      <c r="B63" s="1189"/>
      <c r="C63" s="981" t="str">
        <f>VLOOKUP(M63,ASIGNATURAS!$F$1:$L$1022, 4, FALSE)</f>
        <v>Economía de la Empresa</v>
      </c>
      <c r="D63" s="982"/>
      <c r="E63" s="982"/>
      <c r="F63" s="982"/>
      <c r="G63" s="982"/>
      <c r="H63" s="982"/>
      <c r="I63" s="982"/>
      <c r="J63" s="982"/>
      <c r="K63" s="982"/>
      <c r="L63" s="983"/>
      <c r="M63" s="936">
        <v>9123</v>
      </c>
      <c r="N63" s="937"/>
      <c r="O63" s="936">
        <f>VLOOKUP(M63,ASIGNATURAS!$F$1:$L$1022, 5, FALSE)</f>
        <v>6</v>
      </c>
      <c r="P63" s="937"/>
      <c r="Q63" s="981" t="str">
        <f>VLOOKUP(M63,ASIGNATURAS!$F$1:$L$1022, 6, FALSE)</f>
        <v>Ignacio Fontaneda</v>
      </c>
      <c r="R63" s="982"/>
      <c r="S63" s="982"/>
      <c r="T63" s="982"/>
      <c r="U63" s="982"/>
      <c r="V63" s="982"/>
      <c r="W63" s="982"/>
      <c r="X63" s="982"/>
      <c r="Y63" s="982"/>
      <c r="Z63" s="982"/>
      <c r="AA63" s="982"/>
      <c r="AB63" s="982"/>
      <c r="AC63" s="982"/>
      <c r="AD63" s="982"/>
      <c r="AE63" s="983"/>
    </row>
    <row r="64" spans="1:38" ht="14.4" thickBot="1" x14ac:dyDescent="0.3">
      <c r="A64" s="1201" t="str">
        <f>VLOOKUP(M64,ASIGNATURAS!$F$1:$L$1022, 3, FALSE)</f>
        <v>MATERIALES</v>
      </c>
      <c r="B64" s="1372"/>
      <c r="C64" s="1022" t="str">
        <f>VLOOKUP(M64,ASIGNATURAS!$F$1:$L$1022, 4, FALSE)</f>
        <v>Ciencia de Materiales: Est. y propiedades E/I</v>
      </c>
      <c r="D64" s="1023"/>
      <c r="E64" s="1023"/>
      <c r="F64" s="1023"/>
      <c r="G64" s="1023"/>
      <c r="H64" s="1023"/>
      <c r="I64" s="1023"/>
      <c r="J64" s="1023"/>
      <c r="K64" s="1023"/>
      <c r="L64" s="1024"/>
      <c r="M64" s="1295">
        <v>9124</v>
      </c>
      <c r="N64" s="1296"/>
      <c r="O64" s="1295">
        <f>VLOOKUP(M64,ASIGNATURAS!$F$1:$L$1022, 5, FALSE)</f>
        <v>6</v>
      </c>
      <c r="P64" s="1296"/>
      <c r="Q64" s="1022" t="str">
        <f>VLOOKUP(M64,ASIGNATURAS!$F$1:$L$1022, 6, FALSE)</f>
        <v>Pedro Miguel Bravo, José Calaf , Mónica Preciado</v>
      </c>
      <c r="R64" s="1023"/>
      <c r="S64" s="1023"/>
      <c r="T64" s="1023"/>
      <c r="U64" s="1023"/>
      <c r="V64" s="1023"/>
      <c r="W64" s="1023"/>
      <c r="X64" s="1023"/>
      <c r="Y64" s="1023"/>
      <c r="Z64" s="1023"/>
      <c r="AA64" s="1023"/>
      <c r="AB64" s="1023"/>
      <c r="AC64" s="1023"/>
      <c r="AD64" s="1023"/>
      <c r="AE64" s="1024"/>
    </row>
    <row r="67" spans="1:34" ht="24" customHeight="1" x14ac:dyDescent="0.25">
      <c r="A67" s="1145" t="s">
        <v>1011</v>
      </c>
      <c r="B67" s="1145"/>
      <c r="C67" s="1145"/>
      <c r="D67" s="1145"/>
      <c r="E67" s="1145"/>
    </row>
    <row r="68" spans="1:34" ht="24" customHeight="1" x14ac:dyDescent="0.25">
      <c r="A68" s="1148" t="s">
        <v>1010</v>
      </c>
      <c r="B68" s="1148"/>
      <c r="C68" s="1148"/>
      <c r="D68" s="1148"/>
      <c r="E68" s="1148"/>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1135" t="str">
        <f>VLOOKUP(A76,ASIGNATURAS!$A$2:$D$151, 3, FALSE)</f>
        <v>2º Grado en Ingeniería de Organización Industrial</v>
      </c>
      <c r="B73" s="1136"/>
      <c r="C73" s="1136"/>
      <c r="D73" s="1136"/>
      <c r="E73" s="1136"/>
      <c r="F73" s="1136"/>
      <c r="G73" s="1136"/>
      <c r="H73" s="1136"/>
      <c r="I73" s="1136"/>
      <c r="J73" s="1136"/>
      <c r="K73" s="1136"/>
      <c r="L73" s="1136"/>
      <c r="M73" s="1136"/>
      <c r="N73" s="1136"/>
      <c r="O73" s="1136"/>
      <c r="P73" s="1136"/>
      <c r="Q73" s="1136"/>
      <c r="R73" s="1136"/>
      <c r="S73" s="1136"/>
      <c r="T73" s="1136"/>
      <c r="U73" s="1136"/>
      <c r="V73" s="1136"/>
      <c r="W73" s="1136"/>
      <c r="X73" s="1136"/>
      <c r="Y73" s="1137"/>
      <c r="Z73" s="1064" t="str">
        <f>Z1</f>
        <v>Curso 2024-2025</v>
      </c>
      <c r="AA73" s="1065"/>
      <c r="AB73" s="1065"/>
      <c r="AC73" s="1065"/>
      <c r="AD73" s="1065"/>
      <c r="AE73" s="1066"/>
    </row>
    <row r="74" spans="1:34" s="8" customFormat="1" ht="23.25" customHeight="1" thickBot="1" x14ac:dyDescent="0.45">
      <c r="A74" s="1132" t="str">
        <f>VLOOKUP(A76,ASIGNATURAS!$A$2:$D$151, 2, FALSE)</f>
        <v>Semestre temporal: 1º        (3º Semestre Académico)</v>
      </c>
      <c r="B74" s="1133"/>
      <c r="C74" s="1133"/>
      <c r="D74" s="1133"/>
      <c r="E74" s="1133"/>
      <c r="F74" s="1133"/>
      <c r="G74" s="1133"/>
      <c r="H74" s="1133"/>
      <c r="I74" s="1133"/>
      <c r="J74" s="1133"/>
      <c r="K74" s="1133"/>
      <c r="L74" s="1133"/>
      <c r="M74" s="1133"/>
      <c r="N74" s="1133"/>
      <c r="O74" s="1133"/>
      <c r="P74" s="1133"/>
      <c r="Q74" s="1133"/>
      <c r="R74" s="1133"/>
      <c r="S74" s="1133"/>
      <c r="T74" s="1133"/>
      <c r="U74" s="1133"/>
      <c r="V74" s="1133"/>
      <c r="W74" s="1133"/>
      <c r="X74" s="1133"/>
      <c r="Y74" s="1134"/>
      <c r="Z74" s="1195" t="s">
        <v>827</v>
      </c>
      <c r="AA74" s="1013"/>
      <c r="AB74" s="1013"/>
      <c r="AC74" s="1013"/>
      <c r="AD74" s="1013"/>
      <c r="AE74" s="1014"/>
    </row>
    <row r="75" spans="1:34" s="8" customFormat="1" ht="23.25" customHeight="1" thickBot="1" x14ac:dyDescent="0.45">
      <c r="A75" s="1132" t="s">
        <v>177</v>
      </c>
      <c r="B75" s="1133"/>
      <c r="C75" s="1133"/>
      <c r="D75" s="1133"/>
      <c r="E75" s="1133"/>
      <c r="F75" s="1133"/>
      <c r="G75" s="1133"/>
      <c r="H75" s="1133"/>
      <c r="I75" s="1133"/>
      <c r="J75" s="1133"/>
      <c r="K75" s="1133"/>
      <c r="L75" s="1133"/>
      <c r="M75" s="1133"/>
      <c r="N75" s="1133"/>
      <c r="O75" s="1133"/>
      <c r="P75" s="1133"/>
      <c r="Q75" s="1133"/>
      <c r="R75" s="1133"/>
      <c r="S75" s="1133"/>
      <c r="T75" s="1133"/>
      <c r="U75" s="1133"/>
      <c r="V75" s="1133"/>
      <c r="W75" s="1133"/>
      <c r="X75" s="1133"/>
      <c r="Y75" s="1134"/>
      <c r="Z75" s="1015"/>
      <c r="AA75" s="1015"/>
      <c r="AB75" s="1015"/>
      <c r="AC75" s="1015"/>
      <c r="AD75" s="1015"/>
      <c r="AE75" s="1016"/>
    </row>
    <row r="76" spans="1:34" ht="38.25" customHeight="1" thickBot="1" x14ac:dyDescent="0.3">
      <c r="A76" s="9" t="s">
        <v>60</v>
      </c>
    </row>
    <row r="77" spans="1:34" s="2" customFormat="1" ht="24" customHeight="1" thickBot="1" x14ac:dyDescent="0.3">
      <c r="A77" s="19" t="s">
        <v>1</v>
      </c>
      <c r="B77" s="975" t="s">
        <v>2</v>
      </c>
      <c r="C77" s="976"/>
      <c r="D77" s="976"/>
      <c r="E77" s="976"/>
      <c r="F77" s="976"/>
      <c r="G77" s="977"/>
      <c r="H77" s="975" t="s">
        <v>3</v>
      </c>
      <c r="I77" s="976"/>
      <c r="J77" s="976"/>
      <c r="K77" s="976"/>
      <c r="L77" s="976"/>
      <c r="M77" s="977"/>
      <c r="N77" s="975" t="s">
        <v>135</v>
      </c>
      <c r="O77" s="976"/>
      <c r="P77" s="976"/>
      <c r="Q77" s="976"/>
      <c r="R77" s="976"/>
      <c r="S77" s="977"/>
      <c r="T77" s="975" t="s">
        <v>4</v>
      </c>
      <c r="U77" s="976"/>
      <c r="V77" s="976"/>
      <c r="W77" s="976"/>
      <c r="X77" s="976"/>
      <c r="Y77" s="977"/>
      <c r="Z77" s="975" t="s">
        <v>5</v>
      </c>
      <c r="AA77" s="976"/>
      <c r="AB77" s="976"/>
      <c r="AC77" s="976"/>
      <c r="AD77" s="976"/>
      <c r="AE77" s="977"/>
    </row>
    <row r="78" spans="1:34" ht="36" customHeight="1" x14ac:dyDescent="0.3">
      <c r="A78" s="1375" t="s">
        <v>1091</v>
      </c>
      <c r="B78" s="95" t="s">
        <v>569</v>
      </c>
      <c r="C78" s="1182" t="s">
        <v>1211</v>
      </c>
      <c r="D78" s="95" t="s">
        <v>570</v>
      </c>
      <c r="E78" s="1050" t="s">
        <v>159</v>
      </c>
      <c r="F78" s="1025" t="s">
        <v>246</v>
      </c>
      <c r="G78" s="1025"/>
      <c r="H78" s="1398" t="s">
        <v>246</v>
      </c>
      <c r="I78" s="938" t="s">
        <v>569</v>
      </c>
      <c r="J78" s="1051" t="s">
        <v>148</v>
      </c>
      <c r="K78" s="1151" t="s">
        <v>1311</v>
      </c>
      <c r="L78" s="938" t="s">
        <v>570</v>
      </c>
      <c r="M78" s="1184" t="s">
        <v>555</v>
      </c>
      <c r="N78" s="20"/>
      <c r="O78" s="20"/>
      <c r="P78" s="20"/>
      <c r="Q78" s="1174" t="s">
        <v>28</v>
      </c>
      <c r="R78" s="925" t="s">
        <v>625</v>
      </c>
      <c r="S78" s="927" t="s">
        <v>159</v>
      </c>
      <c r="T78" s="378" t="s">
        <v>569</v>
      </c>
      <c r="U78" s="1051" t="s">
        <v>555</v>
      </c>
      <c r="V78" s="939" t="s">
        <v>29</v>
      </c>
      <c r="W78" s="940"/>
      <c r="X78" s="940"/>
      <c r="Y78" s="941"/>
      <c r="Z78" s="1025" t="s">
        <v>629</v>
      </c>
      <c r="AA78" s="1025"/>
      <c r="AB78" s="1088"/>
      <c r="AC78" s="968"/>
      <c r="AD78" s="1166"/>
      <c r="AE78" s="1168"/>
    </row>
    <row r="79" spans="1:34" ht="37.200000000000003" customHeight="1" x14ac:dyDescent="0.25">
      <c r="A79" s="1105"/>
      <c r="B79" s="1289" t="s">
        <v>629</v>
      </c>
      <c r="C79" s="1182"/>
      <c r="D79" s="1289" t="s">
        <v>28</v>
      </c>
      <c r="E79" s="1051"/>
      <c r="F79" s="1077" t="s">
        <v>153</v>
      </c>
      <c r="G79" s="1077"/>
      <c r="H79" s="1398"/>
      <c r="I79" s="938"/>
      <c r="J79" s="1051"/>
      <c r="K79" s="1151"/>
      <c r="L79" s="938"/>
      <c r="M79" s="1184"/>
      <c r="N79" s="20"/>
      <c r="O79" s="20"/>
      <c r="P79" s="20"/>
      <c r="Q79" s="1174"/>
      <c r="R79" s="925"/>
      <c r="S79" s="927"/>
      <c r="T79" s="938" t="s">
        <v>1311</v>
      </c>
      <c r="U79" s="1051"/>
      <c r="V79" s="948" t="s">
        <v>1237</v>
      </c>
      <c r="W79" s="949"/>
      <c r="X79" s="949"/>
      <c r="Y79" s="950"/>
      <c r="Z79" s="1077" t="s">
        <v>153</v>
      </c>
      <c r="AA79" s="1077"/>
      <c r="AB79" s="1078"/>
      <c r="AC79" s="968"/>
      <c r="AD79" s="1166"/>
      <c r="AE79" s="1168"/>
    </row>
    <row r="80" spans="1:34" ht="34.5" customHeight="1" x14ac:dyDescent="0.3">
      <c r="A80" s="1100" t="s">
        <v>183</v>
      </c>
      <c r="B80" s="1289"/>
      <c r="C80" s="1182"/>
      <c r="D80" s="1289"/>
      <c r="E80" s="1051"/>
      <c r="F80" s="1025" t="s">
        <v>246</v>
      </c>
      <c r="G80" s="1025"/>
      <c r="H80" s="1398"/>
      <c r="I80" s="938"/>
      <c r="J80" s="1051"/>
      <c r="K80" s="1151"/>
      <c r="L80" s="938"/>
      <c r="M80" s="1184"/>
      <c r="N80" s="957" t="s">
        <v>28</v>
      </c>
      <c r="O80" s="957"/>
      <c r="P80" s="957"/>
      <c r="Q80" s="1174"/>
      <c r="R80" s="925"/>
      <c r="S80" s="927"/>
      <c r="T80" s="938"/>
      <c r="U80" s="1051"/>
      <c r="V80" s="942" t="s">
        <v>29</v>
      </c>
      <c r="W80" s="943"/>
      <c r="X80" s="943"/>
      <c r="Y80" s="944"/>
      <c r="Z80" s="1018" t="s">
        <v>629</v>
      </c>
      <c r="AA80" s="1018"/>
      <c r="AB80" s="1018"/>
      <c r="AC80" s="968"/>
      <c r="AD80" s="1166"/>
      <c r="AE80" s="1168"/>
      <c r="AF80" s="1087"/>
      <c r="AG80" s="1025"/>
      <c r="AH80" s="1025"/>
    </row>
    <row r="81" spans="1:42" ht="34.5" customHeight="1" x14ac:dyDescent="0.25">
      <c r="A81" s="1105"/>
      <c r="B81" s="1290"/>
      <c r="C81" s="1182"/>
      <c r="D81" s="1290"/>
      <c r="E81" s="1052"/>
      <c r="F81" s="1077" t="s">
        <v>153</v>
      </c>
      <c r="G81" s="1077"/>
      <c r="H81" s="1399"/>
      <c r="I81" s="1053"/>
      <c r="J81" s="1052"/>
      <c r="K81" s="1152"/>
      <c r="L81" s="1053"/>
      <c r="M81" s="1279"/>
      <c r="N81" s="952" t="s">
        <v>148</v>
      </c>
      <c r="O81" s="952"/>
      <c r="P81" s="1047"/>
      <c r="Q81" s="1174"/>
      <c r="R81" s="926"/>
      <c r="S81" s="1212"/>
      <c r="T81" s="1053"/>
      <c r="U81" s="1052"/>
      <c r="V81" s="945" t="s">
        <v>1237</v>
      </c>
      <c r="W81" s="946"/>
      <c r="X81" s="946"/>
      <c r="Y81" s="947"/>
      <c r="Z81" s="1077" t="s">
        <v>153</v>
      </c>
      <c r="AA81" s="1077"/>
      <c r="AB81" s="1077"/>
      <c r="AC81" s="1400"/>
      <c r="AD81" s="1397"/>
      <c r="AE81" s="1379"/>
      <c r="AF81" s="1077"/>
      <c r="AG81" s="985"/>
      <c r="AH81" s="985"/>
    </row>
    <row r="82" spans="1:42" ht="46.8" customHeight="1" x14ac:dyDescent="0.3">
      <c r="A82" s="1321" t="s">
        <v>182</v>
      </c>
      <c r="B82" s="963" t="s">
        <v>29</v>
      </c>
      <c r="C82" s="957"/>
      <c r="D82" s="1146"/>
      <c r="E82" s="1173" t="s">
        <v>629</v>
      </c>
      <c r="F82" s="1294" t="s">
        <v>625</v>
      </c>
      <c r="G82" s="1211" t="s">
        <v>153</v>
      </c>
      <c r="H82" s="963" t="s">
        <v>246</v>
      </c>
      <c r="I82" s="957"/>
      <c r="J82" s="957"/>
      <c r="K82" s="1171" t="s">
        <v>28</v>
      </c>
      <c r="L82" s="1018"/>
      <c r="M82" s="1172"/>
      <c r="N82" s="963" t="s">
        <v>28</v>
      </c>
      <c r="O82" s="957"/>
      <c r="P82" s="957"/>
      <c r="Q82" s="1173" t="s">
        <v>29</v>
      </c>
      <c r="R82" s="925" t="s">
        <v>625</v>
      </c>
      <c r="S82" s="1211" t="s">
        <v>632</v>
      </c>
      <c r="T82" s="963" t="s">
        <v>1311</v>
      </c>
      <c r="U82" s="957"/>
      <c r="V82" s="957"/>
      <c r="W82" s="957"/>
      <c r="X82" s="957"/>
      <c r="Y82" s="958"/>
      <c r="Z82" s="963" t="s">
        <v>629</v>
      </c>
      <c r="AA82" s="957"/>
      <c r="AB82" s="957"/>
      <c r="AC82" s="1173" t="s">
        <v>246</v>
      </c>
      <c r="AD82" s="1294" t="s">
        <v>625</v>
      </c>
      <c r="AE82" s="1211" t="s">
        <v>153</v>
      </c>
    </row>
    <row r="83" spans="1:42" ht="34.5" customHeight="1" x14ac:dyDescent="0.25">
      <c r="A83" s="1321"/>
      <c r="B83" s="951" t="s">
        <v>148</v>
      </c>
      <c r="C83" s="952"/>
      <c r="D83" s="1047"/>
      <c r="E83" s="1174"/>
      <c r="F83" s="925"/>
      <c r="G83" s="927"/>
      <c r="H83" s="951" t="s">
        <v>148</v>
      </c>
      <c r="I83" s="952"/>
      <c r="J83" s="1047"/>
      <c r="K83" s="1278" t="s">
        <v>153</v>
      </c>
      <c r="L83" s="1077"/>
      <c r="M83" s="1077"/>
      <c r="N83" s="951" t="s">
        <v>148</v>
      </c>
      <c r="O83" s="952"/>
      <c r="P83" s="1047"/>
      <c r="Q83" s="1174"/>
      <c r="R83" s="925"/>
      <c r="S83" s="927"/>
      <c r="T83" s="951" t="s">
        <v>148</v>
      </c>
      <c r="U83" s="952"/>
      <c r="V83" s="952"/>
      <c r="W83" s="997"/>
      <c r="X83" s="952"/>
      <c r="Y83" s="953"/>
      <c r="Z83" s="951" t="s">
        <v>148</v>
      </c>
      <c r="AA83" s="952"/>
      <c r="AB83" s="952"/>
      <c r="AC83" s="1174"/>
      <c r="AD83" s="925"/>
      <c r="AE83" s="927"/>
    </row>
    <row r="84" spans="1:42" ht="45.6" customHeight="1" x14ac:dyDescent="0.3">
      <c r="A84" s="1105" t="s">
        <v>184</v>
      </c>
      <c r="B84" s="775"/>
      <c r="C84" s="776"/>
      <c r="D84" s="777"/>
      <c r="E84" s="1174"/>
      <c r="F84" s="925"/>
      <c r="G84" s="927"/>
      <c r="H84" s="994" t="s">
        <v>1311</v>
      </c>
      <c r="I84" s="995"/>
      <c r="J84" s="995"/>
      <c r="K84" s="995"/>
      <c r="L84" s="995"/>
      <c r="M84" s="996"/>
      <c r="N84" s="963" t="s">
        <v>29</v>
      </c>
      <c r="O84" s="957"/>
      <c r="P84" s="957"/>
      <c r="Q84" s="1174"/>
      <c r="R84" s="925"/>
      <c r="S84" s="927"/>
      <c r="T84" s="994" t="s">
        <v>246</v>
      </c>
      <c r="U84" s="995"/>
      <c r="V84" s="995"/>
      <c r="W84" s="1171" t="s">
        <v>28</v>
      </c>
      <c r="X84" s="1018"/>
      <c r="Y84" s="1172"/>
      <c r="Z84" s="963" t="s">
        <v>629</v>
      </c>
      <c r="AA84" s="957"/>
      <c r="AB84" s="957"/>
      <c r="AC84" s="1174"/>
      <c r="AD84" s="925"/>
      <c r="AE84" s="927"/>
    </row>
    <row r="85" spans="1:42" ht="34.5" customHeight="1" x14ac:dyDescent="0.3">
      <c r="A85" s="1321"/>
      <c r="B85" s="778"/>
      <c r="C85" s="779"/>
      <c r="D85" s="780"/>
      <c r="E85" s="1175"/>
      <c r="F85" s="926"/>
      <c r="G85" s="1212"/>
      <c r="H85" s="951" t="s">
        <v>148</v>
      </c>
      <c r="I85" s="952"/>
      <c r="J85" s="952"/>
      <c r="K85" s="997"/>
      <c r="L85" s="952"/>
      <c r="M85" s="953"/>
      <c r="N85" s="951" t="s">
        <v>148</v>
      </c>
      <c r="O85" s="952"/>
      <c r="P85" s="1047"/>
      <c r="Q85" s="1175"/>
      <c r="R85" s="926"/>
      <c r="S85" s="1212"/>
      <c r="T85" s="951" t="s">
        <v>148</v>
      </c>
      <c r="U85" s="952"/>
      <c r="V85" s="1047"/>
      <c r="W85" s="1278" t="s">
        <v>153</v>
      </c>
      <c r="X85" s="1077"/>
      <c r="Y85" s="1077"/>
      <c r="Z85" s="951" t="s">
        <v>148</v>
      </c>
      <c r="AA85" s="952"/>
      <c r="AB85" s="952"/>
      <c r="AC85" s="1175"/>
      <c r="AD85" s="926"/>
      <c r="AE85" s="1212"/>
      <c r="AF85" s="606"/>
      <c r="AG85" s="606"/>
    </row>
    <row r="86" spans="1:42" ht="34.5" customHeight="1" x14ac:dyDescent="0.3">
      <c r="A86" s="1105" t="s">
        <v>185</v>
      </c>
      <c r="B86" s="1153"/>
      <c r="C86" s="1154"/>
      <c r="D86" s="1155"/>
      <c r="E86" s="423"/>
      <c r="F86" s="84"/>
      <c r="G86" s="85"/>
      <c r="H86" s="1062"/>
      <c r="I86" s="1020"/>
      <c r="J86" s="1021"/>
      <c r="K86" s="1286" t="s">
        <v>28</v>
      </c>
      <c r="L86" s="938" t="s">
        <v>569</v>
      </c>
      <c r="M86" s="1184" t="s">
        <v>159</v>
      </c>
      <c r="N86" s="1389"/>
      <c r="O86" s="972"/>
      <c r="P86" s="1376"/>
      <c r="Q86" s="1150" t="s">
        <v>29</v>
      </c>
      <c r="R86" s="1223" t="s">
        <v>569</v>
      </c>
      <c r="S86" s="1183" t="s">
        <v>632</v>
      </c>
      <c r="T86" s="1286" t="s">
        <v>629</v>
      </c>
      <c r="U86" s="1223" t="s">
        <v>570</v>
      </c>
      <c r="V86" s="1182" t="s">
        <v>1212</v>
      </c>
      <c r="W86" s="967"/>
      <c r="X86" s="1165"/>
      <c r="Y86" s="1168"/>
      <c r="Z86" s="1062"/>
      <c r="AA86" s="1020"/>
      <c r="AB86" s="1020"/>
      <c r="AC86" s="1020"/>
      <c r="AD86" s="1020"/>
      <c r="AE86" s="1063"/>
      <c r="AF86" s="607"/>
      <c r="AG86" s="662"/>
    </row>
    <row r="87" spans="1:42" ht="34.5" customHeight="1" x14ac:dyDescent="0.25">
      <c r="A87" s="1321"/>
      <c r="B87" s="1106"/>
      <c r="C87" s="1107"/>
      <c r="D87" s="1108"/>
      <c r="E87" s="74"/>
      <c r="F87" s="74"/>
      <c r="G87" s="75"/>
      <c r="H87" s="998"/>
      <c r="I87" s="999"/>
      <c r="J87" s="1110"/>
      <c r="K87" s="1287"/>
      <c r="L87" s="938"/>
      <c r="M87" s="1184"/>
      <c r="N87" s="1390"/>
      <c r="O87" s="973"/>
      <c r="P87" s="1377"/>
      <c r="Q87" s="1151"/>
      <c r="R87" s="938"/>
      <c r="S87" s="1184"/>
      <c r="T87" s="1287"/>
      <c r="U87" s="938"/>
      <c r="V87" s="1182"/>
      <c r="W87" s="968"/>
      <c r="X87" s="1166"/>
      <c r="Y87" s="1168"/>
      <c r="Z87" s="964"/>
      <c r="AA87" s="965"/>
      <c r="AB87" s="965"/>
      <c r="AC87" s="999"/>
      <c r="AD87" s="999"/>
      <c r="AE87" s="1000"/>
    </row>
    <row r="88" spans="1:42" ht="34.5" customHeight="1" x14ac:dyDescent="0.3">
      <c r="A88" s="1321" t="s">
        <v>186</v>
      </c>
      <c r="B88" s="505"/>
      <c r="C88" s="20"/>
      <c r="D88" s="20"/>
      <c r="E88" s="393"/>
      <c r="F88" s="84"/>
      <c r="G88" s="85"/>
      <c r="H88" s="998"/>
      <c r="I88" s="999"/>
      <c r="J88" s="1110"/>
      <c r="K88" s="1287"/>
      <c r="L88" s="938"/>
      <c r="M88" s="1184"/>
      <c r="N88" s="1390"/>
      <c r="O88" s="973"/>
      <c r="P88" s="1377"/>
      <c r="Q88" s="1151"/>
      <c r="R88" s="938"/>
      <c r="S88" s="1184"/>
      <c r="T88" s="1287"/>
      <c r="U88" s="938"/>
      <c r="V88" s="1182"/>
      <c r="W88" s="968"/>
      <c r="X88" s="1166"/>
      <c r="Y88" s="1168"/>
      <c r="Z88" s="1062"/>
      <c r="AA88" s="1020"/>
      <c r="AB88" s="1020"/>
      <c r="AC88" s="1020"/>
      <c r="AD88" s="1020"/>
      <c r="AE88" s="1063"/>
    </row>
    <row r="89" spans="1:42" ht="34.5" customHeight="1" thickBot="1" x14ac:dyDescent="0.3">
      <c r="A89" s="1338"/>
      <c r="B89" s="20"/>
      <c r="C89" s="20"/>
      <c r="D89" s="20"/>
      <c r="E89" s="394"/>
      <c r="F89" s="38"/>
      <c r="G89" s="39"/>
      <c r="H89" s="1280"/>
      <c r="I89" s="1281"/>
      <c r="J89" s="1282"/>
      <c r="K89" s="1288"/>
      <c r="L89" s="938"/>
      <c r="M89" s="1185"/>
      <c r="N89" s="1390"/>
      <c r="O89" s="974"/>
      <c r="P89" s="1378"/>
      <c r="Q89" s="1152"/>
      <c r="R89" s="1053"/>
      <c r="S89" s="1185"/>
      <c r="T89" s="1288"/>
      <c r="U89" s="1393"/>
      <c r="V89" s="1182"/>
      <c r="W89" s="969"/>
      <c r="X89" s="1167"/>
      <c r="Y89" s="1169"/>
      <c r="Z89" s="1142"/>
      <c r="AA89" s="1143"/>
      <c r="AB89" s="1143"/>
      <c r="AC89" s="1143"/>
      <c r="AD89" s="1143"/>
      <c r="AE89" s="1144"/>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966"/>
      <c r="C91" s="966"/>
      <c r="D91" s="966"/>
      <c r="E91" s="966"/>
      <c r="F91" s="966"/>
      <c r="G91" s="966"/>
      <c r="H91" s="1170"/>
      <c r="I91" s="1170"/>
      <c r="J91" s="1170"/>
      <c r="K91" s="1170"/>
      <c r="L91" s="1170"/>
      <c r="M91" s="1170"/>
      <c r="N91" s="970"/>
      <c r="O91" s="971"/>
      <c r="P91" s="971"/>
      <c r="Q91" s="971"/>
      <c r="R91" s="971"/>
      <c r="S91" s="971"/>
      <c r="AO91" s="10"/>
      <c r="AP91" s="10"/>
    </row>
    <row r="92" spans="1:42" ht="41.25" customHeight="1" thickBot="1" x14ac:dyDescent="0.3">
      <c r="AO92" s="10"/>
      <c r="AP92" s="10"/>
    </row>
    <row r="93" spans="1:42" ht="18.75" customHeight="1" x14ac:dyDescent="0.25">
      <c r="A93" s="1033" t="s">
        <v>214</v>
      </c>
      <c r="B93" s="935"/>
      <c r="C93" s="934" t="s">
        <v>215</v>
      </c>
      <c r="D93" s="934"/>
      <c r="E93" s="934"/>
      <c r="F93" s="934"/>
      <c r="G93" s="934"/>
      <c r="H93" s="934"/>
      <c r="I93" s="934"/>
      <c r="J93" s="934"/>
      <c r="K93" s="934"/>
      <c r="L93" s="58"/>
      <c r="M93" s="1034" t="s">
        <v>310</v>
      </c>
      <c r="N93" s="1035"/>
      <c r="O93" s="934" t="s">
        <v>139</v>
      </c>
      <c r="P93" s="935"/>
      <c r="Q93" s="934" t="s">
        <v>163</v>
      </c>
      <c r="R93" s="934"/>
      <c r="S93" s="934"/>
      <c r="T93" s="934"/>
      <c r="U93" s="934"/>
      <c r="V93" s="934"/>
      <c r="W93" s="934"/>
      <c r="X93" s="934"/>
      <c r="Y93" s="934"/>
      <c r="Z93" s="934"/>
      <c r="AA93" s="934"/>
      <c r="AB93" s="934"/>
      <c r="AC93" s="934"/>
      <c r="AD93" s="934"/>
      <c r="AE93" s="935"/>
    </row>
    <row r="94" spans="1:42" ht="13.8" x14ac:dyDescent="0.25">
      <c r="A94" s="1188" t="str">
        <f>VLOOKUP(M94,ASIGNATURAS!$F$1:$L$1022, 3, FALSE)</f>
        <v>AUTOMATISMOS</v>
      </c>
      <c r="B94" s="1189"/>
      <c r="C94" s="981" t="str">
        <f>VLOOKUP(M94,ASIGNATURAS!$F$1:$L$1022, 4, FALSE)</f>
        <v>Automatismos y Control Industrial I/E</v>
      </c>
      <c r="D94" s="982"/>
      <c r="E94" s="982"/>
      <c r="F94" s="982"/>
      <c r="G94" s="982"/>
      <c r="H94" s="982"/>
      <c r="I94" s="982"/>
      <c r="J94" s="982"/>
      <c r="K94" s="982"/>
      <c r="L94" s="983"/>
      <c r="M94" s="936">
        <v>9125</v>
      </c>
      <c r="N94" s="937"/>
      <c r="O94" s="936">
        <f>VLOOKUP(M94,ASIGNATURAS!$F$1:$L$1022, 5, FALSE)</f>
        <v>6</v>
      </c>
      <c r="P94" s="937"/>
      <c r="Q94" s="981" t="str">
        <f>VLOOKUP(M94,ASIGNATURAS!$F$1:$L$1022, 6, FALSE)</f>
        <v>José Manuel Luis, Alejandro Merino</v>
      </c>
      <c r="R94" s="982"/>
      <c r="S94" s="982"/>
      <c r="T94" s="982"/>
      <c r="U94" s="982"/>
      <c r="V94" s="982"/>
      <c r="W94" s="982"/>
      <c r="X94" s="982"/>
      <c r="Y94" s="982"/>
      <c r="Z94" s="982"/>
      <c r="AA94" s="982"/>
      <c r="AB94" s="982"/>
      <c r="AC94" s="982"/>
      <c r="AD94" s="982"/>
      <c r="AE94" s="983"/>
    </row>
    <row r="95" spans="1:42" ht="13.8" x14ac:dyDescent="0.25">
      <c r="A95" s="1188" t="str">
        <f>VLOOKUP(M95,ASIGNATURAS!$F$1:$L$1022, 3, FALSE)</f>
        <v>ORGANIZACION</v>
      </c>
      <c r="B95" s="1189"/>
      <c r="C95" s="981" t="str">
        <f>VLOOKUP(M95,ASIGNATURAS!$F$1:$L$1022, 4, FALSE)</f>
        <v>Organización de la Producción</v>
      </c>
      <c r="D95" s="982"/>
      <c r="E95" s="982"/>
      <c r="F95" s="982"/>
      <c r="G95" s="982"/>
      <c r="H95" s="982"/>
      <c r="I95" s="982"/>
      <c r="J95" s="982"/>
      <c r="K95" s="982"/>
      <c r="L95" s="983"/>
      <c r="M95" s="936">
        <v>9126</v>
      </c>
      <c r="N95" s="937"/>
      <c r="O95" s="936">
        <f>VLOOKUP(M95,ASIGNATURAS!$F$1:$L$1022, 5, FALSE)</f>
        <v>6</v>
      </c>
      <c r="P95" s="937"/>
      <c r="Q95" s="981" t="str">
        <f>VLOOKUP(M95,ASIGNATURAS!$F$1:$L$1022, 6, FALSE)</f>
        <v>Miguel Angel Manzanedo, Carlos Alonso, Ricardo del Olmo</v>
      </c>
      <c r="R95" s="982"/>
      <c r="S95" s="982"/>
      <c r="T95" s="982"/>
      <c r="U95" s="982"/>
      <c r="V95" s="982"/>
      <c r="W95" s="982"/>
      <c r="X95" s="982"/>
      <c r="Y95" s="982"/>
      <c r="Z95" s="982"/>
      <c r="AA95" s="982"/>
      <c r="AB95" s="982"/>
      <c r="AC95" s="982"/>
      <c r="AD95" s="982"/>
      <c r="AE95" s="983"/>
    </row>
    <row r="96" spans="1:42" ht="13.5" customHeight="1" x14ac:dyDescent="0.25">
      <c r="A96" s="1188" t="str">
        <f>VLOOKUP(M96,ASIGNATURAS!$F$1:$L$1022, 3, FALSE)</f>
        <v>ERMAT</v>
      </c>
      <c r="B96" s="1189"/>
      <c r="C96" s="981" t="str">
        <f>VLOOKUP(M96,ASIGNATURAS!$F$1:$L$1022, 4, FALSE)</f>
        <v>Elasticidad Resistencia de Materialese E/I</v>
      </c>
      <c r="D96" s="982"/>
      <c r="E96" s="982"/>
      <c r="F96" s="982"/>
      <c r="G96" s="982"/>
      <c r="H96" s="982"/>
      <c r="I96" s="982"/>
      <c r="J96" s="982"/>
      <c r="K96" s="982"/>
      <c r="L96" s="983"/>
      <c r="M96" s="936">
        <v>9127</v>
      </c>
      <c r="N96" s="937"/>
      <c r="O96" s="936">
        <f>VLOOKUP(M96,ASIGNATURAS!$F$1:$L$1022, 5, FALSE)</f>
        <v>6</v>
      </c>
      <c r="P96" s="937"/>
      <c r="Q96" s="981" t="str">
        <f>VLOOKUP(M96,ASIGNATURAS!$F$1:$L$1022, 6, FALSE)</f>
        <v>Manuel Solaguren-Beascoa, Wilco M.H. Verbeeten</v>
      </c>
      <c r="R96" s="982"/>
      <c r="S96" s="982"/>
      <c r="T96" s="982"/>
      <c r="U96" s="982"/>
      <c r="V96" s="982"/>
      <c r="W96" s="982"/>
      <c r="X96" s="982"/>
      <c r="Y96" s="982"/>
      <c r="Z96" s="982"/>
      <c r="AA96" s="982"/>
      <c r="AB96" s="982"/>
      <c r="AC96" s="982"/>
      <c r="AD96" s="982"/>
      <c r="AE96" s="983"/>
    </row>
    <row r="97" spans="1:31" ht="13.8" x14ac:dyDescent="0.25">
      <c r="A97" s="1188" t="str">
        <f>VLOOKUP(M97,ASIGNATURAS!$F$1:$L$1022, 3, FALSE)</f>
        <v>ING. ELECTRICA</v>
      </c>
      <c r="B97" s="1189"/>
      <c r="C97" s="981" t="str">
        <f>VLOOKUP(M97,ASIGNATURAS!$F$1:$L$1022, 4, FALSE)</f>
        <v>Fund de Ingeniería Eléctrica E/I</v>
      </c>
      <c r="D97" s="982"/>
      <c r="E97" s="982"/>
      <c r="F97" s="982"/>
      <c r="G97" s="982"/>
      <c r="H97" s="982"/>
      <c r="I97" s="982"/>
      <c r="J97" s="982"/>
      <c r="K97" s="982"/>
      <c r="L97" s="983"/>
      <c r="M97" s="936">
        <v>9128</v>
      </c>
      <c r="N97" s="937"/>
      <c r="O97" s="936">
        <f>VLOOKUP(M97,ASIGNATURAS!$F$1:$L$1022, 5, FALSE)</f>
        <v>6</v>
      </c>
      <c r="P97" s="937"/>
      <c r="Q97" s="981" t="str">
        <f>VLOOKUP(M97,ASIGNATURAS!$F$1:$L$1022, 6, FALSE)</f>
        <v>Jesus Sagredo, Javier González, Victoria Abad</v>
      </c>
      <c r="R97" s="982"/>
      <c r="S97" s="982"/>
      <c r="T97" s="982"/>
      <c r="U97" s="982"/>
      <c r="V97" s="982"/>
      <c r="W97" s="982"/>
      <c r="X97" s="982"/>
      <c r="Y97" s="982"/>
      <c r="Z97" s="982"/>
      <c r="AA97" s="982"/>
      <c r="AB97" s="982"/>
      <c r="AC97" s="982"/>
      <c r="AD97" s="982"/>
      <c r="AE97" s="983"/>
    </row>
    <row r="98" spans="1:31" ht="13.8" x14ac:dyDescent="0.25">
      <c r="A98" s="1188" t="str">
        <f>VLOOKUP(M98,ASIGNATURAS!$F$1:$L$1022, 3, FALSE)</f>
        <v>FLUIDOMECANICA</v>
      </c>
      <c r="B98" s="1189"/>
      <c r="C98" s="981" t="str">
        <f>VLOOKUP(M98,ASIGNATURAS!$F$1:$L$1022, 4, FALSE)</f>
        <v>Ingeniería Fluidomecánica E/I (Español/Inglés)</v>
      </c>
      <c r="D98" s="982"/>
      <c r="E98" s="982"/>
      <c r="F98" s="982"/>
      <c r="G98" s="982"/>
      <c r="H98" s="982"/>
      <c r="I98" s="982"/>
      <c r="J98" s="982"/>
      <c r="K98" s="982"/>
      <c r="L98" s="983"/>
      <c r="M98" s="936">
        <v>9129</v>
      </c>
      <c r="N98" s="937"/>
      <c r="O98" s="936">
        <f>VLOOKUP(M98,ASIGNATURAS!$F$1:$L$1022, 5, FALSE)</f>
        <v>6</v>
      </c>
      <c r="P98" s="937"/>
      <c r="Q98" s="981" t="str">
        <f>VLOOKUP(M98,ASIGNATURAS!$F$1:$L$1022, 6, FALSE)</f>
        <v>Jesús Marcos García, José Antonio Barón</v>
      </c>
      <c r="R98" s="982"/>
      <c r="S98" s="982"/>
      <c r="T98" s="982"/>
      <c r="U98" s="982"/>
      <c r="V98" s="982"/>
      <c r="W98" s="982"/>
      <c r="X98" s="982"/>
      <c r="Y98" s="982"/>
      <c r="Z98" s="982"/>
      <c r="AA98" s="982"/>
      <c r="AB98" s="982"/>
      <c r="AC98" s="982"/>
      <c r="AD98" s="982"/>
      <c r="AE98" s="983"/>
    </row>
    <row r="101" spans="1:31" ht="24" customHeight="1" x14ac:dyDescent="0.25">
      <c r="A101" s="1145" t="s">
        <v>1011</v>
      </c>
      <c r="B101" s="1145"/>
      <c r="C101" s="1145"/>
      <c r="D101" s="1145"/>
      <c r="E101" s="1145"/>
      <c r="M101" s="1411"/>
      <c r="N101" s="1411"/>
      <c r="O101" s="1411"/>
      <c r="P101" s="1411"/>
    </row>
    <row r="102" spans="1:31" ht="24" customHeight="1" x14ac:dyDescent="0.25">
      <c r="A102" s="1426" t="s">
        <v>1007</v>
      </c>
      <c r="B102" s="1426"/>
      <c r="C102" s="1426"/>
      <c r="D102" s="1426"/>
      <c r="E102" s="1426"/>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1135" t="str">
        <f>VLOOKUP(A111,ASIGNATURAS!$A$2:$D$151, 3, FALSE)</f>
        <v>2º Grado en Ingeniería de Organización Industrial</v>
      </c>
      <c r="B108" s="1136"/>
      <c r="C108" s="1136"/>
      <c r="D108" s="1136"/>
      <c r="E108" s="1136"/>
      <c r="F108" s="1136"/>
      <c r="G108" s="1136"/>
      <c r="H108" s="1136"/>
      <c r="I108" s="1136"/>
      <c r="J108" s="1136"/>
      <c r="K108" s="1136"/>
      <c r="L108" s="1136"/>
      <c r="M108" s="1136"/>
      <c r="N108" s="1136"/>
      <c r="O108" s="1136"/>
      <c r="P108" s="1136"/>
      <c r="Q108" s="1136"/>
      <c r="R108" s="1136"/>
      <c r="S108" s="1136"/>
      <c r="T108" s="1136"/>
      <c r="U108" s="1136"/>
      <c r="V108" s="1136"/>
      <c r="W108" s="1136"/>
      <c r="X108" s="1136"/>
      <c r="Y108" s="1137"/>
      <c r="Z108" s="1064" t="str">
        <f>Z1</f>
        <v>Curso 2024-2025</v>
      </c>
      <c r="AA108" s="1065"/>
      <c r="AB108" s="1065"/>
      <c r="AC108" s="1065"/>
      <c r="AD108" s="1065"/>
      <c r="AE108" s="1066"/>
    </row>
    <row r="109" spans="1:31" s="8" customFormat="1" ht="23.25" customHeight="1" thickBot="1" x14ac:dyDescent="0.45">
      <c r="A109" s="1132" t="str">
        <f>VLOOKUP(A111,ASIGNATURAS!$A$2:$D$151, 2, FALSE)</f>
        <v>Semestre temporal: 2º        (4º Semestre Académico)</v>
      </c>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3"/>
      <c r="W109" s="1133"/>
      <c r="X109" s="1133"/>
      <c r="Y109" s="1134"/>
      <c r="Z109" s="1247" t="s">
        <v>1220</v>
      </c>
      <c r="AA109" s="1248"/>
      <c r="AB109" s="1248"/>
      <c r="AC109" s="1248"/>
      <c r="AD109" s="1248"/>
      <c r="AE109" s="1249"/>
    </row>
    <row r="110" spans="1:31" s="8" customFormat="1" ht="23.25" customHeight="1" thickBot="1" x14ac:dyDescent="0.45">
      <c r="A110" s="1132" t="s">
        <v>177</v>
      </c>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3"/>
      <c r="W110" s="1133"/>
      <c r="X110" s="1133"/>
      <c r="Y110" s="1134"/>
      <c r="Z110" s="1162"/>
      <c r="AA110" s="1163"/>
      <c r="AB110" s="1163"/>
      <c r="AC110" s="1163"/>
      <c r="AD110" s="1163"/>
      <c r="AE110" s="1164"/>
    </row>
    <row r="111" spans="1:31" ht="38.25" customHeight="1" thickBot="1" x14ac:dyDescent="0.3">
      <c r="A111" s="9" t="s">
        <v>61</v>
      </c>
    </row>
    <row r="112" spans="1:31" s="2" customFormat="1" ht="24" customHeight="1" thickBot="1" x14ac:dyDescent="0.3">
      <c r="A112" s="19" t="s">
        <v>1</v>
      </c>
      <c r="B112" s="975" t="s">
        <v>2</v>
      </c>
      <c r="C112" s="976"/>
      <c r="D112" s="976"/>
      <c r="E112" s="976"/>
      <c r="F112" s="976"/>
      <c r="G112" s="977"/>
      <c r="H112" s="975" t="s">
        <v>3</v>
      </c>
      <c r="I112" s="976"/>
      <c r="J112" s="976"/>
      <c r="K112" s="976"/>
      <c r="L112" s="976"/>
      <c r="M112" s="977"/>
      <c r="N112" s="975" t="s">
        <v>135</v>
      </c>
      <c r="O112" s="976"/>
      <c r="P112" s="976"/>
      <c r="Q112" s="976"/>
      <c r="R112" s="976"/>
      <c r="S112" s="977"/>
      <c r="T112" s="975" t="s">
        <v>4</v>
      </c>
      <c r="U112" s="976"/>
      <c r="V112" s="976"/>
      <c r="W112" s="976"/>
      <c r="X112" s="976"/>
      <c r="Y112" s="977"/>
      <c r="Z112" s="975" t="s">
        <v>5</v>
      </c>
      <c r="AA112" s="976"/>
      <c r="AB112" s="976"/>
      <c r="AC112" s="976"/>
      <c r="AD112" s="976"/>
      <c r="AE112" s="977"/>
    </row>
    <row r="113" spans="1:41" ht="38.25" customHeight="1" thickBot="1" x14ac:dyDescent="0.35">
      <c r="A113" s="1128" t="s">
        <v>1091</v>
      </c>
      <c r="B113" s="1289" t="s">
        <v>1310</v>
      </c>
      <c r="C113" s="938" t="s">
        <v>569</v>
      </c>
      <c r="D113" s="1424" t="s">
        <v>143</v>
      </c>
      <c r="E113" s="69"/>
      <c r="F113" s="69"/>
      <c r="G113" s="280"/>
      <c r="H113" s="164" t="s">
        <v>569</v>
      </c>
      <c r="I113" s="1050" t="s">
        <v>667</v>
      </c>
      <c r="J113" s="523" t="s">
        <v>570</v>
      </c>
      <c r="K113" s="1054" t="s">
        <v>1255</v>
      </c>
      <c r="L113" s="870" t="s">
        <v>625</v>
      </c>
      <c r="M113" s="1048" t="s">
        <v>153</v>
      </c>
      <c r="N113" s="1427" t="s">
        <v>1364</v>
      </c>
      <c r="O113" s="1394" t="s">
        <v>569</v>
      </c>
      <c r="P113" s="1054" t="s">
        <v>1255</v>
      </c>
      <c r="Q113" s="1151" t="s">
        <v>30</v>
      </c>
      <c r="R113" s="938" t="s">
        <v>570</v>
      </c>
      <c r="S113" s="1051" t="s">
        <v>667</v>
      </c>
      <c r="T113" s="978" t="s">
        <v>31</v>
      </c>
      <c r="U113" s="979"/>
      <c r="V113" s="979"/>
      <c r="W113" s="979"/>
      <c r="X113" s="979"/>
      <c r="Y113" s="980"/>
      <c r="Z113" s="1387"/>
      <c r="AA113" s="1186"/>
      <c r="AB113" s="1357"/>
      <c r="AC113" s="968"/>
      <c r="AD113" s="1166"/>
      <c r="AE113" s="1168"/>
    </row>
    <row r="114" spans="1:41" ht="35.25" customHeight="1" x14ac:dyDescent="0.25">
      <c r="A114" s="1105"/>
      <c r="B114" s="1289"/>
      <c r="C114" s="938"/>
      <c r="D114" s="1182"/>
      <c r="E114" s="69"/>
      <c r="F114" s="69"/>
      <c r="G114" s="280"/>
      <c r="H114" s="1005" t="s">
        <v>30</v>
      </c>
      <c r="I114" s="1051"/>
      <c r="J114" s="1007" t="s">
        <v>1364</v>
      </c>
      <c r="K114" s="1055"/>
      <c r="L114" s="1009" t="s">
        <v>1364</v>
      </c>
      <c r="M114" s="1049"/>
      <c r="N114" s="1428"/>
      <c r="O114" s="1394"/>
      <c r="P114" s="1055"/>
      <c r="Q114" s="1151"/>
      <c r="R114" s="938"/>
      <c r="S114" s="1051"/>
      <c r="T114" s="928" t="s">
        <v>154</v>
      </c>
      <c r="U114" s="929"/>
      <c r="V114" s="929"/>
      <c r="W114" s="929"/>
      <c r="X114" s="929"/>
      <c r="Y114" s="930"/>
      <c r="Z114" s="1387"/>
      <c r="AA114" s="1186"/>
      <c r="AB114" s="1357"/>
      <c r="AC114" s="968"/>
      <c r="AD114" s="1166"/>
      <c r="AE114" s="1168"/>
      <c r="AK114" s="1011"/>
      <c r="AL114" s="1011"/>
      <c r="AM114" s="993"/>
    </row>
    <row r="115" spans="1:41" ht="30" customHeight="1" x14ac:dyDescent="0.25">
      <c r="A115" s="1100" t="s">
        <v>183</v>
      </c>
      <c r="B115" s="938"/>
      <c r="C115" s="938"/>
      <c r="D115" s="1182"/>
      <c r="E115" s="1150" t="s">
        <v>1203</v>
      </c>
      <c r="F115" s="1223" t="s">
        <v>570</v>
      </c>
      <c r="G115" s="1183" t="s">
        <v>144</v>
      </c>
      <c r="H115" s="1005"/>
      <c r="I115" s="1051"/>
      <c r="J115" s="1007"/>
      <c r="K115" s="1055"/>
      <c r="L115" s="1009"/>
      <c r="M115" s="1049"/>
      <c r="N115" s="1428"/>
      <c r="O115" s="1394"/>
      <c r="P115" s="1055"/>
      <c r="Q115" s="1151"/>
      <c r="R115" s="938"/>
      <c r="S115" s="1051"/>
      <c r="T115" s="1401" t="s">
        <v>31</v>
      </c>
      <c r="U115" s="1412" t="s">
        <v>569</v>
      </c>
      <c r="V115" s="1380" t="s">
        <v>154</v>
      </c>
      <c r="W115" s="1383"/>
      <c r="X115" s="1385"/>
      <c r="Y115" s="1395"/>
      <c r="Z115" s="1387"/>
      <c r="AA115" s="1186"/>
      <c r="AB115" s="1357"/>
      <c r="AC115" s="968"/>
      <c r="AD115" s="1166"/>
      <c r="AE115" s="1168"/>
      <c r="AK115" s="1011"/>
      <c r="AL115" s="1011"/>
      <c r="AM115" s="993"/>
    </row>
    <row r="116" spans="1:41" ht="30" customHeight="1" x14ac:dyDescent="0.25">
      <c r="A116" s="1105"/>
      <c r="B116" s="938"/>
      <c r="C116" s="938"/>
      <c r="D116" s="1182"/>
      <c r="E116" s="1151"/>
      <c r="F116" s="938"/>
      <c r="G116" s="1184"/>
      <c r="H116" s="1006"/>
      <c r="I116" s="1051"/>
      <c r="J116" s="1008"/>
      <c r="K116" s="1055"/>
      <c r="L116" s="1010"/>
      <c r="M116" s="1049"/>
      <c r="N116" s="1428"/>
      <c r="O116" s="1394"/>
      <c r="P116" s="1055"/>
      <c r="Q116" s="1151"/>
      <c r="R116" s="938"/>
      <c r="S116" s="1051"/>
      <c r="T116" s="1402"/>
      <c r="U116" s="1413"/>
      <c r="V116" s="1381"/>
      <c r="W116" s="1383"/>
      <c r="X116" s="1385"/>
      <c r="Y116" s="1395"/>
      <c r="Z116" s="1388"/>
      <c r="AA116" s="1187"/>
      <c r="AB116" s="1358"/>
      <c r="AC116" s="1400"/>
      <c r="AD116" s="1397"/>
      <c r="AE116" s="1379"/>
      <c r="AK116" s="1011"/>
      <c r="AL116" s="1011"/>
      <c r="AM116" s="993"/>
    </row>
    <row r="117" spans="1:41" ht="30" customHeight="1" x14ac:dyDescent="0.3">
      <c r="A117" s="1321" t="s">
        <v>182</v>
      </c>
      <c r="B117" s="938"/>
      <c r="C117" s="938"/>
      <c r="D117" s="1182"/>
      <c r="E117" s="1151"/>
      <c r="F117" s="938"/>
      <c r="G117" s="1184"/>
      <c r="H117" s="963" t="s">
        <v>1310</v>
      </c>
      <c r="I117" s="957"/>
      <c r="J117" s="957"/>
      <c r="K117" s="957"/>
      <c r="L117" s="957"/>
      <c r="M117" s="958"/>
      <c r="N117" s="963" t="s">
        <v>30</v>
      </c>
      <c r="O117" s="957"/>
      <c r="P117" s="957"/>
      <c r="Q117" s="957"/>
      <c r="R117" s="957"/>
      <c r="S117" s="958"/>
      <c r="T117" s="1402"/>
      <c r="U117" s="1413"/>
      <c r="V117" s="1381"/>
      <c r="W117" s="1383"/>
      <c r="X117" s="1385"/>
      <c r="Y117" s="1395"/>
      <c r="Z117" s="1062"/>
      <c r="AA117" s="1020"/>
      <c r="AB117" s="1020"/>
      <c r="AC117" s="1020"/>
      <c r="AD117" s="1020"/>
      <c r="AE117" s="1063"/>
      <c r="AG117" s="994"/>
      <c r="AH117" s="995"/>
      <c r="AI117" s="995"/>
      <c r="AK117" s="1011"/>
      <c r="AL117" s="1011"/>
      <c r="AM117" s="993"/>
    </row>
    <row r="118" spans="1:41" ht="30" customHeight="1" x14ac:dyDescent="0.25">
      <c r="A118" s="1321"/>
      <c r="B118" s="1053"/>
      <c r="C118" s="1053"/>
      <c r="D118" s="1425"/>
      <c r="E118" s="1152"/>
      <c r="F118" s="1053"/>
      <c r="G118" s="1279"/>
      <c r="H118" s="928" t="s">
        <v>143</v>
      </c>
      <c r="I118" s="929"/>
      <c r="J118" s="929"/>
      <c r="K118" s="929"/>
      <c r="L118" s="929"/>
      <c r="M118" s="930"/>
      <c r="N118" s="951" t="s">
        <v>154</v>
      </c>
      <c r="O118" s="952"/>
      <c r="P118" s="952"/>
      <c r="Q118" s="952"/>
      <c r="R118" s="952"/>
      <c r="S118" s="953"/>
      <c r="T118" s="1403"/>
      <c r="U118" s="1414"/>
      <c r="V118" s="1382"/>
      <c r="W118" s="1384"/>
      <c r="X118" s="1386"/>
      <c r="Y118" s="1396"/>
      <c r="Z118" s="964"/>
      <c r="AA118" s="965"/>
      <c r="AB118" s="965"/>
      <c r="AC118" s="965"/>
      <c r="AD118" s="965"/>
      <c r="AE118" s="1027"/>
      <c r="AG118" s="1012"/>
      <c r="AH118" s="997"/>
      <c r="AI118" s="997"/>
      <c r="AK118" s="1011"/>
      <c r="AL118" s="1011"/>
      <c r="AM118" s="993"/>
    </row>
    <row r="119" spans="1:41" ht="30" customHeight="1" x14ac:dyDescent="0.3">
      <c r="A119" s="1105" t="s">
        <v>184</v>
      </c>
      <c r="B119" s="1532" t="s">
        <v>1203</v>
      </c>
      <c r="C119" s="1223" t="s">
        <v>569</v>
      </c>
      <c r="D119" s="1333" t="s">
        <v>144</v>
      </c>
      <c r="E119" s="1408" t="s">
        <v>1310</v>
      </c>
      <c r="F119" s="1223" t="s">
        <v>570</v>
      </c>
      <c r="G119" s="989" t="s">
        <v>143</v>
      </c>
      <c r="H119" s="963" t="s">
        <v>30</v>
      </c>
      <c r="I119" s="957"/>
      <c r="J119" s="957"/>
      <c r="K119" s="957"/>
      <c r="L119" s="957"/>
      <c r="M119" s="958"/>
      <c r="N119" s="954" t="s">
        <v>1364</v>
      </c>
      <c r="O119" s="955"/>
      <c r="P119" s="956"/>
      <c r="Q119" s="957" t="s">
        <v>1364</v>
      </c>
      <c r="R119" s="957"/>
      <c r="S119" s="958"/>
      <c r="T119" s="963" t="s">
        <v>1364</v>
      </c>
      <c r="U119" s="957"/>
      <c r="V119" s="957"/>
      <c r="W119" s="957"/>
      <c r="X119" s="957"/>
      <c r="Y119" s="958"/>
      <c r="Z119" s="931"/>
      <c r="AA119" s="932"/>
      <c r="AB119" s="932"/>
      <c r="AC119" s="932"/>
      <c r="AD119" s="932"/>
      <c r="AE119" s="933"/>
      <c r="AK119" s="1011"/>
      <c r="AL119" s="1011"/>
      <c r="AM119" s="993"/>
    </row>
    <row r="120" spans="1:41" ht="30" customHeight="1" x14ac:dyDescent="0.3">
      <c r="A120" s="1321"/>
      <c r="B120" s="1398"/>
      <c r="C120" s="938"/>
      <c r="D120" s="1334"/>
      <c r="E120" s="1289"/>
      <c r="F120" s="938"/>
      <c r="G120" s="989"/>
      <c r="H120" s="951" t="s">
        <v>154</v>
      </c>
      <c r="I120" s="952"/>
      <c r="J120" s="952"/>
      <c r="K120" s="952"/>
      <c r="L120" s="952"/>
      <c r="M120" s="953"/>
      <c r="N120" s="959" t="s">
        <v>158</v>
      </c>
      <c r="O120" s="960"/>
      <c r="P120" s="961"/>
      <c r="Q120" s="962" t="s">
        <v>154</v>
      </c>
      <c r="R120" s="952"/>
      <c r="S120" s="953"/>
      <c r="T120" s="951" t="s">
        <v>154</v>
      </c>
      <c r="U120" s="952"/>
      <c r="V120" s="952"/>
      <c r="W120" s="952"/>
      <c r="X120" s="952"/>
      <c r="Y120" s="953"/>
      <c r="Z120" s="1297"/>
      <c r="AA120" s="1298"/>
      <c r="AB120" s="1298"/>
      <c r="AC120" s="1298"/>
      <c r="AD120" s="1298"/>
      <c r="AE120" s="1299"/>
      <c r="AG120" s="994"/>
      <c r="AH120" s="995"/>
      <c r="AI120" s="995"/>
    </row>
    <row r="121" spans="1:41" ht="30" customHeight="1" thickBot="1" x14ac:dyDescent="0.35">
      <c r="A121" s="1105" t="s">
        <v>185</v>
      </c>
      <c r="B121" s="1398"/>
      <c r="C121" s="938"/>
      <c r="D121" s="1334"/>
      <c r="E121" s="1289"/>
      <c r="F121" s="938"/>
      <c r="G121" s="989"/>
      <c r="H121" s="1283"/>
      <c r="I121" s="1410"/>
      <c r="J121" s="1179"/>
      <c r="K121" s="1529" t="s">
        <v>1364</v>
      </c>
      <c r="L121" s="1529"/>
      <c r="M121" s="1530"/>
      <c r="N121" s="963" t="s">
        <v>31</v>
      </c>
      <c r="O121" s="957"/>
      <c r="P121" s="957"/>
      <c r="Q121" s="957"/>
      <c r="R121" s="957"/>
      <c r="S121" s="958"/>
      <c r="T121" s="978" t="s">
        <v>1203</v>
      </c>
      <c r="U121" s="979"/>
      <c r="V121" s="979"/>
      <c r="W121" s="979"/>
      <c r="X121" s="979"/>
      <c r="Y121" s="980"/>
      <c r="Z121" s="136"/>
      <c r="AA121" s="137"/>
      <c r="AB121" s="453"/>
      <c r="AC121" s="69"/>
      <c r="AD121" s="69"/>
      <c r="AE121" s="280"/>
      <c r="AG121" s="1012"/>
      <c r="AH121" s="997"/>
      <c r="AI121" s="997"/>
    </row>
    <row r="122" spans="1:41" ht="30" customHeight="1" x14ac:dyDescent="0.25">
      <c r="A122" s="1321"/>
      <c r="B122" s="1398"/>
      <c r="C122" s="1053"/>
      <c r="D122" s="1334"/>
      <c r="E122" s="1289"/>
      <c r="F122" s="938"/>
      <c r="G122" s="989"/>
      <c r="H122" s="1284"/>
      <c r="I122" s="1410"/>
      <c r="J122" s="1180"/>
      <c r="K122" s="1531" t="s">
        <v>158</v>
      </c>
      <c r="L122" s="960"/>
      <c r="M122" s="961"/>
      <c r="N122" s="951" t="s">
        <v>154</v>
      </c>
      <c r="O122" s="952"/>
      <c r="P122" s="952"/>
      <c r="Q122" s="952"/>
      <c r="R122" s="952"/>
      <c r="S122" s="953"/>
      <c r="T122" s="928" t="s">
        <v>154</v>
      </c>
      <c r="U122" s="929"/>
      <c r="V122" s="929"/>
      <c r="W122" s="929"/>
      <c r="X122" s="929"/>
      <c r="Y122" s="930"/>
      <c r="Z122" s="136"/>
      <c r="AA122" s="137"/>
      <c r="AB122" s="453"/>
      <c r="AC122" s="69"/>
      <c r="AD122" s="69"/>
      <c r="AE122" s="280"/>
      <c r="AM122" s="1151"/>
      <c r="AN122" s="938"/>
      <c r="AO122" s="1334"/>
    </row>
    <row r="123" spans="1:41" ht="30" customHeight="1" x14ac:dyDescent="0.3">
      <c r="A123" s="1321" t="s">
        <v>186</v>
      </c>
      <c r="B123" s="192"/>
      <c r="D123" s="193"/>
      <c r="E123" s="1289"/>
      <c r="F123" s="938"/>
      <c r="G123" s="989"/>
      <c r="H123" s="1284"/>
      <c r="I123" s="1410"/>
      <c r="J123" s="1180"/>
      <c r="K123" s="761"/>
      <c r="L123" s="761"/>
      <c r="M123" s="856"/>
      <c r="N123" s="759"/>
      <c r="O123" s="761"/>
      <c r="P123" s="857"/>
      <c r="Q123" s="84"/>
      <c r="R123" s="84"/>
      <c r="S123" s="85"/>
      <c r="T123" s="963" t="s">
        <v>1203</v>
      </c>
      <c r="U123" s="957"/>
      <c r="V123" s="957"/>
      <c r="W123" s="957"/>
      <c r="X123" s="957"/>
      <c r="Y123" s="958"/>
      <c r="Z123" s="1217"/>
      <c r="AA123" s="1218"/>
      <c r="AB123" s="1218"/>
      <c r="AC123" s="1218"/>
      <c r="AD123" s="1218"/>
      <c r="AE123" s="1219"/>
      <c r="AM123" s="1151"/>
      <c r="AN123" s="938"/>
      <c r="AO123" s="1334"/>
    </row>
    <row r="124" spans="1:41" ht="30" customHeight="1" thickBot="1" x14ac:dyDescent="0.3">
      <c r="A124" s="1338"/>
      <c r="B124" s="34"/>
      <c r="C124" s="35"/>
      <c r="D124" s="220"/>
      <c r="E124" s="1409"/>
      <c r="F124" s="1393"/>
      <c r="G124" s="989"/>
      <c r="H124" s="1285"/>
      <c r="I124" s="1410"/>
      <c r="J124" s="1181"/>
      <c r="K124" s="761"/>
      <c r="L124" s="761"/>
      <c r="M124" s="855"/>
      <c r="N124" s="858"/>
      <c r="O124" s="859"/>
      <c r="P124" s="860"/>
      <c r="Q124" s="861"/>
      <c r="R124" s="293"/>
      <c r="S124" s="294"/>
      <c r="T124" s="1115" t="s">
        <v>154</v>
      </c>
      <c r="U124" s="1116"/>
      <c r="V124" s="1116"/>
      <c r="W124" s="1116"/>
      <c r="X124" s="1116"/>
      <c r="Y124" s="1117"/>
      <c r="Z124" s="1220"/>
      <c r="AA124" s="1221"/>
      <c r="AB124" s="1221"/>
      <c r="AC124" s="1221"/>
      <c r="AD124" s="1221"/>
      <c r="AE124" s="1222"/>
      <c r="AM124" s="1151"/>
      <c r="AN124" s="938"/>
      <c r="AO124" s="1334"/>
    </row>
    <row r="125" spans="1:41" ht="41.25" customHeight="1" thickBot="1" x14ac:dyDescent="0.3">
      <c r="A125" s="35"/>
      <c r="G125" s="226"/>
      <c r="I125" s="226"/>
      <c r="J125" s="226"/>
      <c r="K125" s="226"/>
      <c r="L125" s="226"/>
      <c r="P125" s="226"/>
      <c r="AM125" s="1151"/>
      <c r="AN125" s="938"/>
      <c r="AO125" s="1334"/>
    </row>
    <row r="126" spans="1:41" ht="18.75" customHeight="1" x14ac:dyDescent="0.25">
      <c r="A126" s="1033" t="s">
        <v>214</v>
      </c>
      <c r="B126" s="935"/>
      <c r="C126" s="934" t="s">
        <v>215</v>
      </c>
      <c r="D126" s="934"/>
      <c r="E126" s="934"/>
      <c r="F126" s="934"/>
      <c r="G126" s="934"/>
      <c r="H126" s="934"/>
      <c r="I126" s="934"/>
      <c r="J126" s="934"/>
      <c r="K126" s="934"/>
      <c r="L126" s="58"/>
      <c r="M126" s="1034" t="s">
        <v>311</v>
      </c>
      <c r="N126" s="1035"/>
      <c r="O126" s="934" t="s">
        <v>139</v>
      </c>
      <c r="P126" s="935"/>
      <c r="Q126" s="1158" t="s">
        <v>163</v>
      </c>
      <c r="R126" s="1293"/>
      <c r="S126" s="1293"/>
      <c r="T126" s="1293"/>
      <c r="U126" s="1293"/>
      <c r="V126" s="1293"/>
      <c r="W126" s="1293"/>
      <c r="X126" s="1293"/>
      <c r="Y126" s="1293"/>
      <c r="Z126" s="1293"/>
      <c r="AA126" s="1293"/>
      <c r="AB126" s="1293"/>
      <c r="AC126" s="1293"/>
      <c r="AD126" s="1293"/>
      <c r="AE126" s="1159"/>
    </row>
    <row r="127" spans="1:41" ht="13.8" x14ac:dyDescent="0.25">
      <c r="A127" s="1188" t="str">
        <f>VLOOKUP(M127,ASIGNATURAS!$F$1:$L$1022, 3, FALSE)</f>
        <v>EXP. GRAFICA II</v>
      </c>
      <c r="B127" s="1189"/>
      <c r="C127" s="981" t="str">
        <f>VLOOKUP(M127,ASIGNATURAS!$F$1:$L$1022, 4, FALSE)</f>
        <v>Expresión Gráfica II</v>
      </c>
      <c r="D127" s="982"/>
      <c r="E127" s="982"/>
      <c r="F127" s="982"/>
      <c r="G127" s="982"/>
      <c r="H127" s="982"/>
      <c r="I127" s="982"/>
      <c r="J127" s="982"/>
      <c r="K127" s="982"/>
      <c r="L127" s="983"/>
      <c r="M127" s="936">
        <v>9130</v>
      </c>
      <c r="N127" s="937"/>
      <c r="O127" s="936">
        <f>VLOOKUP(M127,ASIGNATURAS!$F$1:$L$1022, 5, FALSE)</f>
        <v>6</v>
      </c>
      <c r="P127" s="937"/>
      <c r="Q127" s="981" t="str">
        <f>VLOOKUP(M127,ASIGNATURAS!$F$1:$L$1022, 6, FALSE)</f>
        <v>Carlos Melgosa</v>
      </c>
      <c r="R127" s="982"/>
      <c r="S127" s="982"/>
      <c r="T127" s="982"/>
      <c r="U127" s="982"/>
      <c r="V127" s="982"/>
      <c r="W127" s="982"/>
      <c r="X127" s="982"/>
      <c r="Y127" s="982"/>
      <c r="Z127" s="982"/>
      <c r="AA127" s="982"/>
      <c r="AB127" s="982"/>
      <c r="AC127" s="982"/>
      <c r="AD127" s="982"/>
      <c r="AE127" s="983"/>
    </row>
    <row r="128" spans="1:41" ht="13.8" x14ac:dyDescent="0.25">
      <c r="A128" s="1188" t="str">
        <f>VLOOKUP(M128,ASIGNATURAS!$F$1:$L$1022, 3, FALSE)</f>
        <v>E.C.N.</v>
      </c>
      <c r="B128" s="1189"/>
      <c r="C128" s="981" t="str">
        <f>VLOOKUP(M128,ASIGNATURAS!$F$1:$L$1022, 4, FALSE)</f>
        <v>Estadística y Cálculo Numérico</v>
      </c>
      <c r="D128" s="982"/>
      <c r="E128" s="982"/>
      <c r="F128" s="982"/>
      <c r="G128" s="982"/>
      <c r="H128" s="982"/>
      <c r="I128" s="982"/>
      <c r="J128" s="982"/>
      <c r="K128" s="982"/>
      <c r="L128" s="983"/>
      <c r="M128" s="936">
        <v>9131</v>
      </c>
      <c r="N128" s="937"/>
      <c r="O128" s="936">
        <f>VLOOKUP(M128,ASIGNATURAS!$F$1:$L$1022, 5, FALSE)</f>
        <v>6</v>
      </c>
      <c r="P128" s="937"/>
      <c r="Q128" s="981" t="str">
        <f>VLOOKUP(M128,ASIGNATURAS!$F$1:$L$1022, 6, FALSE)</f>
        <v>Diego Sedano, Raúl del Barrio</v>
      </c>
      <c r="R128" s="982"/>
      <c r="S128" s="982"/>
      <c r="T128" s="982"/>
      <c r="U128" s="982"/>
      <c r="V128" s="982"/>
      <c r="W128" s="982"/>
      <c r="X128" s="982"/>
      <c r="Y128" s="982"/>
      <c r="Z128" s="982"/>
      <c r="AA128" s="982"/>
      <c r="AB128" s="982"/>
      <c r="AC128" s="982"/>
      <c r="AD128" s="982"/>
      <c r="AE128" s="983"/>
    </row>
    <row r="129" spans="1:31" ht="13.8" x14ac:dyDescent="0.25">
      <c r="A129" s="1188" t="str">
        <f>VLOOKUP(M129,ASIGNATURAS!$F$1:$L$1022, 3, FALSE)</f>
        <v xml:space="preserve">TERMICA </v>
      </c>
      <c r="B129" s="1189"/>
      <c r="C129" s="981" t="str">
        <f>VLOOKUP(M129,ASIGNATURAS!$F$1:$L$1022, 4, FALSE)</f>
        <v>Ingeniería Térmica (Español/Inglés)</v>
      </c>
      <c r="D129" s="982"/>
      <c r="E129" s="982"/>
      <c r="F129" s="982"/>
      <c r="G129" s="982"/>
      <c r="H129" s="982"/>
      <c r="I129" s="982"/>
      <c r="J129" s="982"/>
      <c r="K129" s="982"/>
      <c r="L129" s="983"/>
      <c r="M129" s="936">
        <v>9132</v>
      </c>
      <c r="N129" s="937"/>
      <c r="O129" s="936">
        <f>VLOOKUP(M129,ASIGNATURAS!$F$1:$L$1022, 5, FALSE)</f>
        <v>6</v>
      </c>
      <c r="P129" s="937"/>
      <c r="Q129" s="981" t="str">
        <f>VLOOKUP(M129,ASIGNATURAS!$F$1:$L$1022, 6, FALSE)</f>
        <v>Natalia Muñoz</v>
      </c>
      <c r="R129" s="982"/>
      <c r="S129" s="982"/>
      <c r="T129" s="982"/>
      <c r="U129" s="982"/>
      <c r="V129" s="982"/>
      <c r="W129" s="982"/>
      <c r="X129" s="982"/>
      <c r="Y129" s="982"/>
      <c r="Z129" s="982"/>
      <c r="AA129" s="982"/>
      <c r="AB129" s="982"/>
      <c r="AC129" s="982"/>
      <c r="AD129" s="982"/>
      <c r="AE129" s="983"/>
    </row>
    <row r="130" spans="1:31" ht="13.8" x14ac:dyDescent="0.25">
      <c r="A130" s="1188" t="str">
        <f>VLOOKUP(M130,ASIGNATURAS!$F$1:$L$1022, 3, FALSE)</f>
        <v>MECANISMOS</v>
      </c>
      <c r="B130" s="1189"/>
      <c r="C130" s="981" t="str">
        <f>VLOOKUP(M130,ASIGNATURAS!$F$1:$L$1022, 4, FALSE)</f>
        <v>Teoría de Mecanismos y Máquinas</v>
      </c>
      <c r="D130" s="982"/>
      <c r="E130" s="982"/>
      <c r="F130" s="982"/>
      <c r="G130" s="982"/>
      <c r="H130" s="982"/>
      <c r="I130" s="982"/>
      <c r="J130" s="982"/>
      <c r="K130" s="982"/>
      <c r="L130" s="983"/>
      <c r="M130" s="936">
        <v>9133</v>
      </c>
      <c r="N130" s="937"/>
      <c r="O130" s="936">
        <f>VLOOKUP(M130,ASIGNATURAS!$F$1:$L$1022, 5, FALSE)</f>
        <v>6</v>
      </c>
      <c r="P130" s="937"/>
      <c r="Q130" s="981" t="str">
        <f>VLOOKUP(M130,ASIGNATURAS!$F$1:$L$1022, 6, FALSE)</f>
        <v>Francisco Javier Gómez Gil</v>
      </c>
      <c r="R130" s="982"/>
      <c r="S130" s="982"/>
      <c r="T130" s="982"/>
      <c r="U130" s="982"/>
      <c r="V130" s="982"/>
      <c r="W130" s="982"/>
      <c r="X130" s="982"/>
      <c r="Y130" s="982"/>
      <c r="Z130" s="982"/>
      <c r="AA130" s="982"/>
      <c r="AB130" s="982"/>
      <c r="AC130" s="982"/>
      <c r="AD130" s="982"/>
      <c r="AE130" s="983"/>
    </row>
    <row r="131" spans="1:31" ht="14.4" thickBot="1" x14ac:dyDescent="0.3">
      <c r="A131" s="1201" t="str">
        <f>VLOOKUP(M131,ASIGNATURAS!$F$1:$L$1022, 3, FALSE)</f>
        <v>ELECTRONICA</v>
      </c>
      <c r="B131" s="1372"/>
      <c r="C131" s="1022" t="str">
        <f>VLOOKUP(M131,ASIGNATURAS!$F$1:$L$1022, 4, FALSE)</f>
        <v>Fundamentos de Electrónica</v>
      </c>
      <c r="D131" s="1023"/>
      <c r="E131" s="1023"/>
      <c r="F131" s="1023"/>
      <c r="G131" s="1023"/>
      <c r="H131" s="1023"/>
      <c r="I131" s="1023"/>
      <c r="J131" s="1023"/>
      <c r="K131" s="1023"/>
      <c r="L131" s="1024"/>
      <c r="M131" s="1295">
        <v>9134</v>
      </c>
      <c r="N131" s="1296"/>
      <c r="O131" s="1295">
        <f>VLOOKUP(M131,ASIGNATURAS!$F$1:$L$1022, 5, FALSE)</f>
        <v>6</v>
      </c>
      <c r="P131" s="1296"/>
      <c r="Q131" s="1022" t="str">
        <f>VLOOKUP(M131,ASIGNATURAS!$F$1:$L$1022, 6, FALSE)</f>
        <v>María Isabel Dieste Velasco</v>
      </c>
      <c r="R131" s="1023"/>
      <c r="S131" s="1023"/>
      <c r="T131" s="1023"/>
      <c r="U131" s="1023"/>
      <c r="V131" s="1023"/>
      <c r="W131" s="1023"/>
      <c r="X131" s="1023"/>
      <c r="Y131" s="1023"/>
      <c r="Z131" s="1023"/>
      <c r="AA131" s="1023"/>
      <c r="AB131" s="1023"/>
      <c r="AC131" s="1023"/>
      <c r="AD131" s="1023"/>
      <c r="AE131" s="1024"/>
    </row>
    <row r="134" spans="1:31" ht="24" customHeight="1" x14ac:dyDescent="0.25">
      <c r="A134" s="1145" t="s">
        <v>1011</v>
      </c>
      <c r="B134" s="1145"/>
      <c r="C134" s="1145"/>
      <c r="D134" s="1145"/>
      <c r="E134" s="1145"/>
    </row>
    <row r="135" spans="1:31" ht="24" customHeight="1" x14ac:dyDescent="0.25">
      <c r="A135" s="1148" t="s">
        <v>1007</v>
      </c>
      <c r="B135" s="1148"/>
      <c r="C135" s="1148"/>
      <c r="D135" s="1148"/>
      <c r="E135" s="1148"/>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1135" t="str">
        <f>VLOOKUP(A144,ASIGNATURAS!$A$2:$D$151, 3, FALSE)</f>
        <v>3º Grado en Ingeniería de Organización Industrial</v>
      </c>
      <c r="B141" s="1136"/>
      <c r="C141" s="1136"/>
      <c r="D141" s="1136"/>
      <c r="E141" s="1136"/>
      <c r="F141" s="1136"/>
      <c r="G141" s="1136"/>
      <c r="H141" s="1136"/>
      <c r="I141" s="1136"/>
      <c r="J141" s="1136"/>
      <c r="K141" s="1136"/>
      <c r="L141" s="1136"/>
      <c r="M141" s="1136"/>
      <c r="N141" s="1136"/>
      <c r="O141" s="1136"/>
      <c r="P141" s="1136"/>
      <c r="Q141" s="1136"/>
      <c r="R141" s="1136"/>
      <c r="S141" s="1136"/>
      <c r="T141" s="1136"/>
      <c r="U141" s="1136"/>
      <c r="V141" s="1136"/>
      <c r="W141" s="1136"/>
      <c r="X141" s="1136"/>
      <c r="Y141" s="1137"/>
      <c r="Z141" s="1064" t="str">
        <f>Z1</f>
        <v>Curso 2024-2025</v>
      </c>
      <c r="AA141" s="1065"/>
      <c r="AB141" s="1065"/>
      <c r="AC141" s="1065"/>
      <c r="AD141" s="1065"/>
      <c r="AE141" s="1066"/>
    </row>
    <row r="142" spans="1:31" s="8" customFormat="1" ht="23.25" customHeight="1" thickBot="1" x14ac:dyDescent="0.45">
      <c r="A142" s="1132" t="str">
        <f>VLOOKUP(A144,ASIGNATURAS!$A$2:$D$151, 2, FALSE)</f>
        <v>Semestre temporal: 1º        (5º Semestre Académico)</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4"/>
      <c r="Z142" s="1013" t="s">
        <v>1120</v>
      </c>
      <c r="AA142" s="1013"/>
      <c r="AB142" s="1013"/>
      <c r="AC142" s="1013"/>
      <c r="AD142" s="1013"/>
      <c r="AE142" s="1014"/>
    </row>
    <row r="143" spans="1:31" s="8" customFormat="1" ht="23.25" customHeight="1" thickBot="1" x14ac:dyDescent="0.45">
      <c r="A143" s="1132" t="s">
        <v>138</v>
      </c>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3"/>
      <c r="W143" s="1133"/>
      <c r="X143" s="1133"/>
      <c r="Y143" s="1134"/>
      <c r="Z143" s="1015"/>
      <c r="AA143" s="1015"/>
      <c r="AB143" s="1015"/>
      <c r="AC143" s="1015"/>
      <c r="AD143" s="1015"/>
      <c r="AE143" s="1016"/>
    </row>
    <row r="144" spans="1:31" ht="38.25" customHeight="1" thickBot="1" x14ac:dyDescent="0.3">
      <c r="A144" s="9" t="s">
        <v>62</v>
      </c>
    </row>
    <row r="145" spans="1:41" s="2" customFormat="1" ht="24" customHeight="1" thickBot="1" x14ac:dyDescent="0.3">
      <c r="A145" s="19" t="s">
        <v>1</v>
      </c>
      <c r="B145" s="1064" t="s">
        <v>2</v>
      </c>
      <c r="C145" s="1065"/>
      <c r="D145" s="1065"/>
      <c r="E145" s="1065"/>
      <c r="F145" s="1065"/>
      <c r="G145" s="1066"/>
      <c r="H145" s="975" t="s">
        <v>3</v>
      </c>
      <c r="I145" s="976"/>
      <c r="J145" s="976"/>
      <c r="K145" s="976"/>
      <c r="L145" s="976"/>
      <c r="M145" s="977"/>
      <c r="N145" s="1064" t="s">
        <v>135</v>
      </c>
      <c r="O145" s="1065"/>
      <c r="P145" s="1065"/>
      <c r="Q145" s="1065"/>
      <c r="R145" s="1065"/>
      <c r="S145" s="1066"/>
      <c r="T145" s="1064" t="s">
        <v>4</v>
      </c>
      <c r="U145" s="1065"/>
      <c r="V145" s="1065"/>
      <c r="W145" s="1065"/>
      <c r="X145" s="1065"/>
      <c r="Y145" s="1066"/>
      <c r="Z145" s="975" t="s">
        <v>5</v>
      </c>
      <c r="AA145" s="976"/>
      <c r="AB145" s="976"/>
      <c r="AC145" s="976"/>
      <c r="AD145" s="976"/>
      <c r="AE145" s="977"/>
    </row>
    <row r="146" spans="1:41" ht="30" customHeight="1" x14ac:dyDescent="0.3">
      <c r="A146" s="1160" t="s">
        <v>10</v>
      </c>
      <c r="B146" s="1418"/>
      <c r="C146" s="1419"/>
      <c r="D146" s="1419"/>
      <c r="E146" s="1419"/>
      <c r="F146" s="1419"/>
      <c r="G146" s="1420"/>
      <c r="H146" s="1075" t="s">
        <v>1371</v>
      </c>
      <c r="I146" s="938" t="s">
        <v>569</v>
      </c>
      <c r="J146" s="1050" t="s">
        <v>1297</v>
      </c>
      <c r="K146" s="938" t="s">
        <v>93</v>
      </c>
      <c r="L146" s="938" t="s">
        <v>570</v>
      </c>
      <c r="M146" s="1461" t="s">
        <v>1257</v>
      </c>
      <c r="N146" s="1089" t="s">
        <v>94</v>
      </c>
      <c r="O146" s="1089" t="s">
        <v>569</v>
      </c>
      <c r="P146" s="1050" t="s">
        <v>555</v>
      </c>
      <c r="Q146" s="1089" t="s">
        <v>254</v>
      </c>
      <c r="R146" s="1089" t="s">
        <v>570</v>
      </c>
      <c r="S146" s="1415" t="s">
        <v>1273</v>
      </c>
      <c r="T146" s="1002" t="s">
        <v>94</v>
      </c>
      <c r="U146" s="1003"/>
      <c r="V146" s="1003"/>
      <c r="W146" s="1003"/>
      <c r="X146" s="1003"/>
      <c r="Y146" s="1004"/>
      <c r="Z146" s="1422"/>
      <c r="AA146" s="1165"/>
      <c r="AB146" s="1460"/>
      <c r="AC146" s="938" t="s">
        <v>94</v>
      </c>
      <c r="AD146" s="1089" t="s">
        <v>570</v>
      </c>
      <c r="AE146" s="1050" t="s">
        <v>555</v>
      </c>
    </row>
    <row r="147" spans="1:41" ht="30" customHeight="1" x14ac:dyDescent="0.25">
      <c r="A147" s="1161"/>
      <c r="B147" s="1444"/>
      <c r="C147" s="1445"/>
      <c r="D147" s="1445"/>
      <c r="E147" s="1445"/>
      <c r="F147" s="1445"/>
      <c r="G147" s="1446"/>
      <c r="H147" s="1075"/>
      <c r="I147" s="938"/>
      <c r="J147" s="1051"/>
      <c r="K147" s="938"/>
      <c r="L147" s="938"/>
      <c r="M147" s="1462"/>
      <c r="N147" s="938"/>
      <c r="O147" s="938"/>
      <c r="P147" s="1051"/>
      <c r="Q147" s="938"/>
      <c r="R147" s="938"/>
      <c r="S147" s="1416"/>
      <c r="T147" s="951" t="s">
        <v>150</v>
      </c>
      <c r="U147" s="952"/>
      <c r="V147" s="952"/>
      <c r="W147" s="952"/>
      <c r="X147" s="952"/>
      <c r="Y147" s="953"/>
      <c r="Z147" s="1423"/>
      <c r="AA147" s="1166"/>
      <c r="AB147" s="1357"/>
      <c r="AC147" s="938"/>
      <c r="AD147" s="938"/>
      <c r="AE147" s="1051"/>
    </row>
    <row r="148" spans="1:41" ht="30" customHeight="1" x14ac:dyDescent="0.3">
      <c r="A148" s="1161" t="s">
        <v>11</v>
      </c>
      <c r="B148" s="1438"/>
      <c r="C148" s="1439"/>
      <c r="D148" s="1439"/>
      <c r="E148" s="1439"/>
      <c r="F148" s="1439"/>
      <c r="G148" s="1440"/>
      <c r="H148" s="1075"/>
      <c r="I148" s="938"/>
      <c r="J148" s="1051"/>
      <c r="K148" s="938"/>
      <c r="L148" s="938"/>
      <c r="M148" s="1462"/>
      <c r="N148" s="938"/>
      <c r="O148" s="938"/>
      <c r="P148" s="1051"/>
      <c r="Q148" s="938"/>
      <c r="R148" s="938"/>
      <c r="S148" s="1416"/>
      <c r="T148" s="994" t="s">
        <v>94</v>
      </c>
      <c r="U148" s="995"/>
      <c r="V148" s="995"/>
      <c r="W148" s="995"/>
      <c r="X148" s="995"/>
      <c r="Y148" s="996"/>
      <c r="Z148" s="1423"/>
      <c r="AA148" s="1166"/>
      <c r="AB148" s="1357"/>
      <c r="AC148" s="938"/>
      <c r="AD148" s="938"/>
      <c r="AE148" s="1051"/>
      <c r="AI148" s="995"/>
      <c r="AJ148" s="995"/>
      <c r="AK148" s="995"/>
      <c r="AL148" s="995"/>
      <c r="AM148" s="995"/>
      <c r="AN148" s="995"/>
    </row>
    <row r="149" spans="1:41" ht="30" customHeight="1" x14ac:dyDescent="0.25">
      <c r="A149" s="1161"/>
      <c r="B149" s="1444"/>
      <c r="C149" s="1445"/>
      <c r="D149" s="1445"/>
      <c r="E149" s="1445"/>
      <c r="F149" s="1445"/>
      <c r="G149" s="1446"/>
      <c r="H149" s="1265"/>
      <c r="I149" s="1053"/>
      <c r="J149" s="1052"/>
      <c r="K149" s="1053"/>
      <c r="L149" s="1053"/>
      <c r="M149" s="1463"/>
      <c r="N149" s="1053"/>
      <c r="O149" s="1053"/>
      <c r="P149" s="1052"/>
      <c r="Q149" s="1053"/>
      <c r="R149" s="1053"/>
      <c r="S149" s="1417"/>
      <c r="T149" s="951" t="s">
        <v>150</v>
      </c>
      <c r="U149" s="952"/>
      <c r="V149" s="952"/>
      <c r="W149" s="952"/>
      <c r="X149" s="952"/>
      <c r="Y149" s="953"/>
      <c r="Z149" s="1423"/>
      <c r="AA149" s="1166"/>
      <c r="AB149" s="1358"/>
      <c r="AC149" s="938"/>
      <c r="AD149" s="1053"/>
      <c r="AE149" s="1052"/>
      <c r="AI149" s="997"/>
      <c r="AJ149" s="997"/>
      <c r="AK149" s="997"/>
      <c r="AL149" s="997"/>
      <c r="AM149" s="997"/>
      <c r="AN149" s="997"/>
    </row>
    <row r="150" spans="1:41" ht="30" customHeight="1" x14ac:dyDescent="0.3">
      <c r="A150" s="1161" t="s">
        <v>6</v>
      </c>
      <c r="B150" s="963" t="s">
        <v>93</v>
      </c>
      <c r="C150" s="957"/>
      <c r="D150" s="957"/>
      <c r="E150" s="957"/>
      <c r="F150" s="957"/>
      <c r="G150" s="958"/>
      <c r="H150" s="1075" t="s">
        <v>93</v>
      </c>
      <c r="I150" s="938" t="s">
        <v>569</v>
      </c>
      <c r="J150" s="1533" t="s">
        <v>1257</v>
      </c>
      <c r="K150" s="1453" t="s">
        <v>1371</v>
      </c>
      <c r="L150" s="925" t="s">
        <v>625</v>
      </c>
      <c r="M150" s="1211" t="s">
        <v>828</v>
      </c>
      <c r="N150" s="1223" t="s">
        <v>254</v>
      </c>
      <c r="O150" s="938" t="s">
        <v>569</v>
      </c>
      <c r="P150" s="1404" t="s">
        <v>1273</v>
      </c>
      <c r="Q150" s="1458" t="s">
        <v>92</v>
      </c>
      <c r="R150" s="1407">
        <v>80</v>
      </c>
      <c r="S150" s="1421" t="s">
        <v>555</v>
      </c>
      <c r="T150" s="994" t="s">
        <v>254</v>
      </c>
      <c r="U150" s="995"/>
      <c r="V150" s="995"/>
      <c r="W150" s="995"/>
      <c r="X150" s="995"/>
      <c r="Y150" s="996"/>
      <c r="Z150" s="1467" t="s">
        <v>92</v>
      </c>
      <c r="AA150" s="1223" t="s">
        <v>569</v>
      </c>
      <c r="AB150" s="1051" t="s">
        <v>555</v>
      </c>
      <c r="AC150" s="1447" t="s">
        <v>94</v>
      </c>
      <c r="AD150" s="1407">
        <v>80</v>
      </c>
      <c r="AE150" s="1456" t="s">
        <v>150</v>
      </c>
      <c r="AI150" s="995"/>
      <c r="AJ150" s="995"/>
      <c r="AK150" s="995"/>
      <c r="AL150" s="995"/>
      <c r="AM150" s="995"/>
      <c r="AN150" s="995"/>
    </row>
    <row r="151" spans="1:41" ht="30" customHeight="1" x14ac:dyDescent="0.25">
      <c r="A151" s="1161"/>
      <c r="B151" s="951" t="s">
        <v>150</v>
      </c>
      <c r="C151" s="952"/>
      <c r="D151" s="952"/>
      <c r="E151" s="952"/>
      <c r="F151" s="952"/>
      <c r="G151" s="953"/>
      <c r="H151" s="1075"/>
      <c r="I151" s="938"/>
      <c r="J151" s="1533"/>
      <c r="K151" s="1315"/>
      <c r="L151" s="925"/>
      <c r="M151" s="927"/>
      <c r="N151" s="938"/>
      <c r="O151" s="938"/>
      <c r="P151" s="1405"/>
      <c r="Q151" s="1459"/>
      <c r="R151" s="1407"/>
      <c r="S151" s="1421"/>
      <c r="T151" s="951" t="s">
        <v>150</v>
      </c>
      <c r="U151" s="952"/>
      <c r="V151" s="952"/>
      <c r="W151" s="952"/>
      <c r="X151" s="952"/>
      <c r="Y151" s="953"/>
      <c r="Z151" s="1075"/>
      <c r="AA151" s="938"/>
      <c r="AB151" s="1051"/>
      <c r="AC151" s="1448"/>
      <c r="AD151" s="1407"/>
      <c r="AE151" s="1456"/>
      <c r="AI151" s="997"/>
      <c r="AJ151" s="997"/>
      <c r="AK151" s="997"/>
      <c r="AL151" s="997"/>
      <c r="AM151" s="997"/>
      <c r="AN151" s="997"/>
    </row>
    <row r="152" spans="1:41" ht="30" customHeight="1" x14ac:dyDescent="0.3">
      <c r="A152" s="1161" t="s">
        <v>7</v>
      </c>
      <c r="B152" s="994" t="s">
        <v>93</v>
      </c>
      <c r="C152" s="995"/>
      <c r="D152" s="995"/>
      <c r="E152" s="995"/>
      <c r="F152" s="995"/>
      <c r="G152" s="996"/>
      <c r="H152" s="1075"/>
      <c r="I152" s="938"/>
      <c r="J152" s="1533"/>
      <c r="K152" s="1315"/>
      <c r="L152" s="925"/>
      <c r="M152" s="927"/>
      <c r="N152" s="938"/>
      <c r="O152" s="938"/>
      <c r="P152" s="1405"/>
      <c r="Q152" s="1459"/>
      <c r="R152" s="1407"/>
      <c r="S152" s="1421"/>
      <c r="T152" s="994" t="s">
        <v>254</v>
      </c>
      <c r="U152" s="995"/>
      <c r="V152" s="995"/>
      <c r="W152" s="995"/>
      <c r="X152" s="995"/>
      <c r="Y152" s="996"/>
      <c r="Z152" s="1075"/>
      <c r="AA152" s="938"/>
      <c r="AB152" s="1051"/>
      <c r="AC152" s="1448"/>
      <c r="AD152" s="1407"/>
      <c r="AE152" s="1456"/>
    </row>
    <row r="153" spans="1:41" ht="30" customHeight="1" x14ac:dyDescent="0.25">
      <c r="A153" s="1161"/>
      <c r="B153" s="951" t="s">
        <v>150</v>
      </c>
      <c r="C153" s="952"/>
      <c r="D153" s="952"/>
      <c r="E153" s="952"/>
      <c r="F153" s="952"/>
      <c r="G153" s="953"/>
      <c r="H153" s="1265"/>
      <c r="I153" s="1053"/>
      <c r="J153" s="1534"/>
      <c r="K153" s="1454"/>
      <c r="L153" s="926"/>
      <c r="M153" s="1212"/>
      <c r="N153" s="938"/>
      <c r="O153" s="938"/>
      <c r="P153" s="1406"/>
      <c r="Q153" s="1459"/>
      <c r="R153" s="1407"/>
      <c r="S153" s="1421"/>
      <c r="T153" s="951" t="s">
        <v>150</v>
      </c>
      <c r="U153" s="952"/>
      <c r="V153" s="952"/>
      <c r="W153" s="952"/>
      <c r="X153" s="952"/>
      <c r="Y153" s="953"/>
      <c r="Z153" s="1075"/>
      <c r="AA153" s="938"/>
      <c r="AB153" s="1051"/>
      <c r="AC153" s="1449"/>
      <c r="AD153" s="1407"/>
      <c r="AE153" s="1457"/>
      <c r="AJ153" s="1429"/>
      <c r="AK153" s="1429"/>
      <c r="AL153" s="1429"/>
      <c r="AM153" s="1429"/>
      <c r="AN153" s="1429"/>
      <c r="AO153" s="1429"/>
    </row>
    <row r="154" spans="1:41" ht="30" customHeight="1" x14ac:dyDescent="0.3">
      <c r="A154" s="1161" t="s">
        <v>8</v>
      </c>
      <c r="B154" s="1062"/>
      <c r="C154" s="1020"/>
      <c r="D154" s="1020"/>
      <c r="E154" s="1020"/>
      <c r="F154" s="1020"/>
      <c r="G154" s="1063"/>
      <c r="H154" s="1062"/>
      <c r="I154" s="1020"/>
      <c r="J154" s="1020"/>
      <c r="K154" s="1020"/>
      <c r="L154" s="1020"/>
      <c r="M154" s="1063"/>
      <c r="N154" s="963" t="s">
        <v>92</v>
      </c>
      <c r="O154" s="957"/>
      <c r="P154" s="957"/>
      <c r="Q154" s="957"/>
      <c r="R154" s="957"/>
      <c r="S154" s="958"/>
      <c r="T154" s="1062"/>
      <c r="U154" s="1020"/>
      <c r="V154" s="1020"/>
      <c r="W154" s="1020"/>
      <c r="X154" s="1020"/>
      <c r="Y154" s="1063"/>
      <c r="Z154" s="1450" t="s">
        <v>92</v>
      </c>
      <c r="AA154" s="1294" t="s">
        <v>625</v>
      </c>
      <c r="AB154" s="1430" t="s">
        <v>555</v>
      </c>
      <c r="AC154" s="1432" t="s">
        <v>1371</v>
      </c>
      <c r="AD154" s="1435"/>
      <c r="AE154" s="1437" t="s">
        <v>150</v>
      </c>
      <c r="AI154" s="1429"/>
      <c r="AJ154" s="1429"/>
      <c r="AK154" s="1429"/>
      <c r="AL154" s="1429"/>
      <c r="AM154" s="1429"/>
      <c r="AN154" s="1429"/>
    </row>
    <row r="155" spans="1:41" ht="30" customHeight="1" x14ac:dyDescent="0.25">
      <c r="A155" s="1161"/>
      <c r="B155" s="1069"/>
      <c r="C155" s="1070"/>
      <c r="D155" s="1070"/>
      <c r="E155" s="1070"/>
      <c r="F155" s="1070"/>
      <c r="G155" s="1071"/>
      <c r="H155" s="1069"/>
      <c r="I155" s="1070"/>
      <c r="J155" s="1070"/>
      <c r="K155" s="1070"/>
      <c r="L155" s="1070"/>
      <c r="M155" s="1071"/>
      <c r="N155" s="951" t="s">
        <v>555</v>
      </c>
      <c r="O155" s="952"/>
      <c r="P155" s="952"/>
      <c r="Q155" s="952"/>
      <c r="R155" s="952"/>
      <c r="S155" s="953"/>
      <c r="T155" s="1069"/>
      <c r="U155" s="1070"/>
      <c r="V155" s="1070"/>
      <c r="W155" s="1070"/>
      <c r="X155" s="1070"/>
      <c r="Y155" s="1071"/>
      <c r="Z155" s="1451"/>
      <c r="AA155" s="925"/>
      <c r="AB155" s="1329"/>
      <c r="AC155" s="1433"/>
      <c r="AD155" s="1436"/>
      <c r="AE155" s="1437"/>
      <c r="AI155" s="985"/>
      <c r="AJ155" s="985"/>
      <c r="AK155" s="985"/>
      <c r="AL155" s="985"/>
      <c r="AM155" s="985"/>
      <c r="AN155" s="985"/>
    </row>
    <row r="156" spans="1:41" ht="30" customHeight="1" x14ac:dyDescent="0.3">
      <c r="A156" s="1161" t="s">
        <v>9</v>
      </c>
      <c r="B156" s="1153"/>
      <c r="C156" s="1154"/>
      <c r="D156" s="1154"/>
      <c r="E156" s="1154"/>
      <c r="F156" s="1154"/>
      <c r="G156" s="1455"/>
      <c r="H156" s="1153"/>
      <c r="I156" s="1154"/>
      <c r="J156" s="1154"/>
      <c r="K156" s="1154"/>
      <c r="L156" s="1154"/>
      <c r="M156" s="1455"/>
      <c r="N156" s="963" t="s">
        <v>92</v>
      </c>
      <c r="O156" s="957"/>
      <c r="P156" s="957"/>
      <c r="Q156" s="957"/>
      <c r="R156" s="957"/>
      <c r="S156" s="958"/>
      <c r="T156" s="998"/>
      <c r="U156" s="999"/>
      <c r="V156" s="999"/>
      <c r="W156" s="999"/>
      <c r="X156" s="999"/>
      <c r="Y156" s="1000"/>
      <c r="Z156" s="1451"/>
      <c r="AA156" s="925"/>
      <c r="AB156" s="1329"/>
      <c r="AC156" s="1433"/>
      <c r="AD156" s="1436"/>
      <c r="AE156" s="1437"/>
      <c r="AI156" s="1429"/>
      <c r="AJ156" s="1429"/>
      <c r="AK156" s="1429"/>
      <c r="AL156" s="1429"/>
      <c r="AM156" s="1429"/>
      <c r="AN156" s="1429"/>
    </row>
    <row r="157" spans="1:41" ht="30" customHeight="1" thickBot="1" x14ac:dyDescent="0.3">
      <c r="A157" s="1238"/>
      <c r="B157" s="1441"/>
      <c r="C157" s="1442"/>
      <c r="D157" s="1442"/>
      <c r="E157" s="1442"/>
      <c r="F157" s="1442"/>
      <c r="G157" s="1443"/>
      <c r="H157" s="1441"/>
      <c r="I157" s="1442"/>
      <c r="J157" s="1442"/>
      <c r="K157" s="1442"/>
      <c r="L157" s="1442"/>
      <c r="M157" s="1443"/>
      <c r="N157" s="1115" t="s">
        <v>555</v>
      </c>
      <c r="O157" s="1116"/>
      <c r="P157" s="1116"/>
      <c r="Q157" s="1116"/>
      <c r="R157" s="1116"/>
      <c r="S157" s="1117"/>
      <c r="T157" s="1142"/>
      <c r="U157" s="1143"/>
      <c r="V157" s="1143"/>
      <c r="W157" s="1143"/>
      <c r="X157" s="1143"/>
      <c r="Y157" s="1144"/>
      <c r="Z157" s="1452"/>
      <c r="AA157" s="1472"/>
      <c r="AB157" s="1431"/>
      <c r="AC157" s="1434"/>
      <c r="AD157" s="1436"/>
      <c r="AE157" s="1437"/>
      <c r="AI157" s="985"/>
      <c r="AJ157" s="985"/>
      <c r="AK157" s="985"/>
      <c r="AL157" s="985"/>
      <c r="AM157" s="985"/>
      <c r="AN157" s="985"/>
    </row>
    <row r="158" spans="1:41" ht="41.25" customHeight="1" thickBot="1" x14ac:dyDescent="0.3">
      <c r="A158" s="514"/>
      <c r="P158" s="35"/>
      <c r="Q158" s="35"/>
      <c r="R158" s="35"/>
      <c r="S158" s="35"/>
      <c r="AD158" s="226"/>
      <c r="AE158" s="226"/>
    </row>
    <row r="159" spans="1:41" ht="18.75" customHeight="1" x14ac:dyDescent="0.25">
      <c r="A159" s="1033" t="s">
        <v>214</v>
      </c>
      <c r="B159" s="935"/>
      <c r="C159" s="934" t="s">
        <v>215</v>
      </c>
      <c r="D159" s="934"/>
      <c r="E159" s="934"/>
      <c r="F159" s="934"/>
      <c r="G159" s="934"/>
      <c r="H159" s="934"/>
      <c r="I159" s="934"/>
      <c r="J159" s="934"/>
      <c r="K159" s="934"/>
      <c r="L159" s="58"/>
      <c r="M159" s="1034" t="s">
        <v>312</v>
      </c>
      <c r="N159" s="1035"/>
      <c r="O159" s="934" t="s">
        <v>139</v>
      </c>
      <c r="P159" s="935"/>
      <c r="Q159" s="934" t="s">
        <v>163</v>
      </c>
      <c r="R159" s="934"/>
      <c r="S159" s="934"/>
      <c r="T159" s="934"/>
      <c r="U159" s="934"/>
      <c r="V159" s="934"/>
      <c r="W159" s="934"/>
      <c r="X159" s="934"/>
      <c r="Y159" s="934"/>
      <c r="Z159" s="934"/>
      <c r="AA159" s="934"/>
      <c r="AB159" s="934"/>
      <c r="AC159" s="934"/>
      <c r="AD159" s="934"/>
      <c r="AE159" s="935"/>
    </row>
    <row r="160" spans="1:41" ht="13.8" x14ac:dyDescent="0.25">
      <c r="A160" s="1188" t="str">
        <f>VLOOKUP(M160,ASIGNATURAS!$F$1:$L$1022, 3, FALSE)</f>
        <v>INVESTIGACION I</v>
      </c>
      <c r="B160" s="1189"/>
      <c r="C160" s="981" t="str">
        <f>VLOOKUP(M160,ASIGNATURAS!$F$1:$L$1022, 4, FALSE)</f>
        <v>Investigación operativa I  E/I (Español/Inglés)</v>
      </c>
      <c r="D160" s="982"/>
      <c r="E160" s="982"/>
      <c r="F160" s="982"/>
      <c r="G160" s="982"/>
      <c r="H160" s="982"/>
      <c r="I160" s="982"/>
      <c r="J160" s="982"/>
      <c r="K160" s="982"/>
      <c r="L160" s="983"/>
      <c r="M160" s="936">
        <v>9135</v>
      </c>
      <c r="N160" s="937"/>
      <c r="O160" s="936">
        <f>VLOOKUP(M160,ASIGNATURAS!$F$1:$L$1022, 5, FALSE)</f>
        <v>6</v>
      </c>
      <c r="P160" s="937"/>
      <c r="Q160" s="981" t="str">
        <f>VLOOKUP(M160,ASIGNATURAS!$F$1:$L$1022, 6, FALSE)</f>
        <v>Virginia Ahedo</v>
      </c>
      <c r="R160" s="982"/>
      <c r="S160" s="982"/>
      <c r="T160" s="982"/>
      <c r="U160" s="982"/>
      <c r="V160" s="982"/>
      <c r="W160" s="982"/>
      <c r="X160" s="982"/>
      <c r="Y160" s="982"/>
      <c r="Z160" s="982"/>
      <c r="AA160" s="982"/>
      <c r="AB160" s="982"/>
      <c r="AC160" s="982"/>
      <c r="AD160" s="982"/>
      <c r="AE160" s="983"/>
    </row>
    <row r="161" spans="1:35" ht="15" customHeight="1" x14ac:dyDescent="0.25">
      <c r="A161" s="1188" t="str">
        <f>VLOOKUP(M161,ASIGNATURAS!$F$1:$L$1022, 3, FALSE)</f>
        <v>ORG. TRABAJO</v>
      </c>
      <c r="B161" s="1189"/>
      <c r="C161" s="1523" t="str">
        <f>VLOOKUP(M161,ASIGNATURAS!$F$1:$L$1022, 4, FALSE)</f>
        <v>Organización del Trabajo y RRHH E/I</v>
      </c>
      <c r="D161" s="1524"/>
      <c r="E161" s="1524"/>
      <c r="F161" s="1524"/>
      <c r="G161" s="1524"/>
      <c r="H161" s="1524"/>
      <c r="I161" s="1524"/>
      <c r="J161" s="1524"/>
      <c r="K161" s="1524"/>
      <c r="L161" s="1525"/>
      <c r="M161" s="936">
        <v>9136</v>
      </c>
      <c r="N161" s="937"/>
      <c r="O161" s="936">
        <f>VLOOKUP(M161,ASIGNATURAS!$F$1:$L$1022, 5, FALSE)</f>
        <v>6</v>
      </c>
      <c r="P161" s="937"/>
      <c r="Q161" s="981" t="str">
        <f>VLOOKUP(M161,ASIGNATURAS!$F$1:$L$1022, 6, FALSE)</f>
        <v>Ana María Lara Palma</v>
      </c>
      <c r="R161" s="982"/>
      <c r="S161" s="982"/>
      <c r="T161" s="982"/>
      <c r="U161" s="982"/>
      <c r="V161" s="982"/>
      <c r="W161" s="982"/>
      <c r="X161" s="982"/>
      <c r="Y161" s="982"/>
      <c r="Z161" s="982"/>
      <c r="AA161" s="982"/>
      <c r="AB161" s="982"/>
      <c r="AC161" s="982"/>
      <c r="AD161" s="982"/>
      <c r="AE161" s="983"/>
    </row>
    <row r="162" spans="1:35" ht="13.8" x14ac:dyDescent="0.25">
      <c r="A162" s="1188" t="str">
        <f>VLOOKUP(M162,ASIGNATURAS!$F$1:$L$1022, 3, FALSE)</f>
        <v>MARKETING</v>
      </c>
      <c r="B162" s="1189"/>
      <c r="C162" s="981" t="str">
        <f>VLOOKUP(M162,ASIGNATURAS!$F$1:$L$1022, 4, FALSE)</f>
        <v xml:space="preserve">Márketing Industrial </v>
      </c>
      <c r="D162" s="982"/>
      <c r="E162" s="982"/>
      <c r="F162" s="982"/>
      <c r="G162" s="982"/>
      <c r="H162" s="982"/>
      <c r="I162" s="982"/>
      <c r="J162" s="982"/>
      <c r="K162" s="982"/>
      <c r="L162" s="983"/>
      <c r="M162" s="936">
        <v>9137</v>
      </c>
      <c r="N162" s="937"/>
      <c r="O162" s="936">
        <f>VLOOKUP(M162,ASIGNATURAS!$F$1:$L$1022, 5, FALSE)</f>
        <v>6</v>
      </c>
      <c r="P162" s="937"/>
      <c r="Q162" s="981" t="str">
        <f>VLOOKUP(M162,ASIGNATURAS!$F$1:$L$1022, 6, FALSE)</f>
        <v>Miguel Angel Camino</v>
      </c>
      <c r="R162" s="982"/>
      <c r="S162" s="982"/>
      <c r="T162" s="982"/>
      <c r="U162" s="982"/>
      <c r="V162" s="982"/>
      <c r="W162" s="982"/>
      <c r="X162" s="982"/>
      <c r="Y162" s="982"/>
      <c r="Z162" s="982"/>
      <c r="AA162" s="982"/>
      <c r="AB162" s="982"/>
      <c r="AC162" s="982"/>
      <c r="AD162" s="982"/>
      <c r="AE162" s="983"/>
    </row>
    <row r="163" spans="1:35" ht="13.8" x14ac:dyDescent="0.25">
      <c r="A163" s="1188" t="str">
        <f>VLOOKUP(M163,ASIGNATURAS!$F$1:$L$1022, 3, FALSE)</f>
        <v>ESTRATEGIA</v>
      </c>
      <c r="B163" s="1189"/>
      <c r="C163" s="981" t="str">
        <f>VLOOKUP(M163,ASIGNATURAS!$F$1:$L$1022, 4, FALSE)</f>
        <v>Estrategia y Política de Empresa</v>
      </c>
      <c r="D163" s="982"/>
      <c r="E163" s="982"/>
      <c r="F163" s="982"/>
      <c r="G163" s="982"/>
      <c r="H163" s="982"/>
      <c r="I163" s="982"/>
      <c r="J163" s="982"/>
      <c r="K163" s="982"/>
      <c r="L163" s="983"/>
      <c r="M163" s="936">
        <v>9138</v>
      </c>
      <c r="N163" s="937"/>
      <c r="O163" s="936">
        <f>VLOOKUP(M163,ASIGNATURAS!$F$1:$L$1022, 5, FALSE)</f>
        <v>6</v>
      </c>
      <c r="P163" s="937"/>
      <c r="Q163" s="981" t="str">
        <f>VLOOKUP(M163,ASIGNATURAS!$F$1:$L$1022, 6, FALSE)</f>
        <v>Oscar Manuel Carrasco Saiz</v>
      </c>
      <c r="R163" s="982"/>
      <c r="S163" s="982"/>
      <c r="T163" s="982"/>
      <c r="U163" s="982"/>
      <c r="V163" s="982"/>
      <c r="W163" s="982"/>
      <c r="X163" s="982"/>
      <c r="Y163" s="982"/>
      <c r="Z163" s="982"/>
      <c r="AA163" s="982"/>
      <c r="AB163" s="982"/>
      <c r="AC163" s="982"/>
      <c r="AD163" s="982"/>
      <c r="AE163" s="983"/>
    </row>
    <row r="164" spans="1:35" ht="14.4" thickBot="1" x14ac:dyDescent="0.3">
      <c r="A164" s="1201" t="str">
        <f>VLOOKUP(M164,ASIGNATURAS!$F$1:$L$1022, 3, FALSE)</f>
        <v>PROD. Y FABRIC.</v>
      </c>
      <c r="B164" s="1372"/>
      <c r="C164" s="1022" t="str">
        <f>VLOOKUP(M164,ASIGNATURAS!$F$1:$L$1022, 4, FALSE)</f>
        <v>Sistemas de Producción y Fab. Indust.</v>
      </c>
      <c r="D164" s="1023"/>
      <c r="E164" s="1023"/>
      <c r="F164" s="1023"/>
      <c r="G164" s="1023"/>
      <c r="H164" s="1023"/>
      <c r="I164" s="1023"/>
      <c r="J164" s="1023"/>
      <c r="K164" s="1023"/>
      <c r="L164" s="1024"/>
      <c r="M164" s="1295">
        <v>9139</v>
      </c>
      <c r="N164" s="1296"/>
      <c r="O164" s="1295">
        <f>VLOOKUP(M164,ASIGNATURAS!$F$1:$L$1022, 5, FALSE)</f>
        <v>6</v>
      </c>
      <c r="P164" s="1296"/>
      <c r="Q164" s="1022" t="str">
        <f>VLOOKUP(M164,ASIGNATURAS!$F$1:$L$1022, 6, FALSE)</f>
        <v>Miguel Angel Mariscal</v>
      </c>
      <c r="R164" s="1023"/>
      <c r="S164" s="1023"/>
      <c r="T164" s="1023"/>
      <c r="U164" s="1023"/>
      <c r="V164" s="1023"/>
      <c r="W164" s="1023"/>
      <c r="X164" s="1023"/>
      <c r="Y164" s="1023"/>
      <c r="Z164" s="1023"/>
      <c r="AA164" s="1023"/>
      <c r="AB164" s="1023"/>
      <c r="AC164" s="1023"/>
      <c r="AD164" s="1023"/>
      <c r="AE164" s="1024"/>
    </row>
    <row r="167" spans="1:35" ht="24" customHeight="1" x14ac:dyDescent="0.25">
      <c r="A167" s="1145" t="s">
        <v>1011</v>
      </c>
      <c r="B167" s="1145"/>
      <c r="C167" s="1145"/>
      <c r="D167" s="1145"/>
      <c r="E167" s="1145"/>
    </row>
    <row r="168" spans="1:35" ht="24" customHeight="1" x14ac:dyDescent="0.25">
      <c r="A168" s="1148" t="s">
        <v>1007</v>
      </c>
      <c r="B168" s="1148"/>
      <c r="C168" s="1148"/>
      <c r="D168" s="1148"/>
      <c r="E168" s="1148"/>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1135" t="str">
        <f>VLOOKUP(A176,ASIGNATURAS!$A$2:$D$151, 3, FALSE)</f>
        <v>3º Grado en Ingeniería de Organización Industrial</v>
      </c>
      <c r="B173" s="1136"/>
      <c r="C173" s="1136"/>
      <c r="D173" s="1136"/>
      <c r="E173" s="1136"/>
      <c r="F173" s="1136"/>
      <c r="G173" s="1136"/>
      <c r="H173" s="1136"/>
      <c r="I173" s="1136"/>
      <c r="J173" s="1136"/>
      <c r="K173" s="1136"/>
      <c r="L173" s="1136"/>
      <c r="M173" s="1136"/>
      <c r="N173" s="1136"/>
      <c r="O173" s="1136"/>
      <c r="P173" s="1136"/>
      <c r="Q173" s="1136"/>
      <c r="R173" s="1136"/>
      <c r="S173" s="1136"/>
      <c r="T173" s="1136"/>
      <c r="U173" s="1136"/>
      <c r="V173" s="1136"/>
      <c r="W173" s="1136"/>
      <c r="X173" s="1136"/>
      <c r="Y173" s="1137"/>
      <c r="Z173" s="1064" t="str">
        <f>Z1</f>
        <v>Curso 2024-2025</v>
      </c>
      <c r="AA173" s="1065"/>
      <c r="AB173" s="1065"/>
      <c r="AC173" s="1065"/>
      <c r="AD173" s="1065"/>
      <c r="AE173" s="1066"/>
      <c r="AG173"/>
      <c r="AH173"/>
      <c r="AI173"/>
    </row>
    <row r="174" spans="1:35" s="8" customFormat="1" ht="23.25" customHeight="1" thickBot="1" x14ac:dyDescent="0.45">
      <c r="A174" s="1132" t="str">
        <f>VLOOKUP(A176,ASIGNATURAS!$A$2:$D$151, 2, FALSE)</f>
        <v>Semestre temporal: 2º        (6º Semestre Académico)</v>
      </c>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4"/>
      <c r="Z174" s="1013" t="s">
        <v>1198</v>
      </c>
      <c r="AA174" s="1013"/>
      <c r="AB174" s="1013"/>
      <c r="AC174" s="1013"/>
      <c r="AD174" s="1013"/>
      <c r="AE174" s="1014"/>
      <c r="AG174"/>
      <c r="AH174"/>
      <c r="AI174"/>
    </row>
    <row r="175" spans="1:35" s="8" customFormat="1" ht="23.25" customHeight="1" thickBot="1" x14ac:dyDescent="0.45">
      <c r="A175" s="1132" t="s">
        <v>138</v>
      </c>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3"/>
      <c r="W175" s="1133"/>
      <c r="X175" s="1133"/>
      <c r="Y175" s="1134"/>
      <c r="Z175" s="1015"/>
      <c r="AA175" s="1015"/>
      <c r="AB175" s="1015"/>
      <c r="AC175" s="1015"/>
      <c r="AD175" s="1015"/>
      <c r="AE175" s="1016"/>
      <c r="AG175"/>
      <c r="AH175"/>
      <c r="AI175"/>
    </row>
    <row r="176" spans="1:35" ht="38.25" customHeight="1" thickBot="1" x14ac:dyDescent="0.3">
      <c r="A176" s="9" t="s">
        <v>63</v>
      </c>
    </row>
    <row r="177" spans="1:43" s="2" customFormat="1" ht="24" customHeight="1" thickBot="1" x14ac:dyDescent="0.3">
      <c r="A177" s="19" t="s">
        <v>1</v>
      </c>
      <c r="B177" s="975" t="s">
        <v>2</v>
      </c>
      <c r="C177" s="976"/>
      <c r="D177" s="976"/>
      <c r="E177" s="976"/>
      <c r="F177" s="976"/>
      <c r="G177" s="977"/>
      <c r="H177" s="975" t="s">
        <v>3</v>
      </c>
      <c r="I177" s="976"/>
      <c r="J177" s="976"/>
      <c r="K177" s="976"/>
      <c r="L177" s="976"/>
      <c r="M177" s="977"/>
      <c r="N177" s="1064" t="s">
        <v>135</v>
      </c>
      <c r="O177" s="1065"/>
      <c r="P177" s="1065"/>
      <c r="Q177" s="1065"/>
      <c r="R177" s="1065"/>
      <c r="S177" s="1066"/>
      <c r="T177" s="975" t="s">
        <v>4</v>
      </c>
      <c r="U177" s="976"/>
      <c r="V177" s="976"/>
      <c r="W177" s="976"/>
      <c r="X177" s="976"/>
      <c r="Y177" s="977"/>
      <c r="Z177" s="975" t="s">
        <v>5</v>
      </c>
      <c r="AA177" s="976"/>
      <c r="AB177" s="976"/>
      <c r="AC177" s="976"/>
      <c r="AD177" s="976"/>
      <c r="AE177" s="977"/>
      <c r="AG177"/>
      <c r="AH177"/>
    </row>
    <row r="178" spans="1:43" ht="33" customHeight="1" x14ac:dyDescent="0.3">
      <c r="A178" s="1160" t="s">
        <v>10</v>
      </c>
      <c r="B178" s="963" t="s">
        <v>95</v>
      </c>
      <c r="C178" s="957"/>
      <c r="D178" s="957"/>
      <c r="E178" s="957"/>
      <c r="F178" s="957"/>
      <c r="G178" s="958"/>
      <c r="H178" s="1017" t="s">
        <v>217</v>
      </c>
      <c r="I178" s="1018"/>
      <c r="J178" s="1018"/>
      <c r="K178" s="1018"/>
      <c r="L178" s="1018"/>
      <c r="M178" s="1172"/>
      <c r="N178" s="1490" t="s">
        <v>1158</v>
      </c>
      <c r="O178" s="1089" t="s">
        <v>569</v>
      </c>
      <c r="P178" s="1050" t="s">
        <v>1288</v>
      </c>
      <c r="Q178" s="1510"/>
      <c r="R178" s="1510"/>
      <c r="S178" s="1213"/>
      <c r="T178" s="1423"/>
      <c r="U178" s="1166"/>
      <c r="V178" s="1149"/>
      <c r="W178" s="1289" t="s">
        <v>245</v>
      </c>
      <c r="X178" s="938" t="s">
        <v>569</v>
      </c>
      <c r="Y178" s="1416" t="s">
        <v>477</v>
      </c>
      <c r="Z178" s="1469" t="s">
        <v>1158</v>
      </c>
      <c r="AA178" s="1435"/>
      <c r="AB178" s="1464" t="s">
        <v>1288</v>
      </c>
      <c r="AC178" s="1453" t="s">
        <v>217</v>
      </c>
      <c r="AD178" s="1468" t="s">
        <v>625</v>
      </c>
      <c r="AE178" s="1535" t="s">
        <v>155</v>
      </c>
      <c r="AF178" s="994"/>
      <c r="AG178" s="995"/>
      <c r="AH178" s="995"/>
      <c r="AI178" s="995"/>
      <c r="AJ178" s="995"/>
      <c r="AK178" s="995"/>
    </row>
    <row r="179" spans="1:43" ht="33" customHeight="1" x14ac:dyDescent="0.25">
      <c r="A179" s="1161"/>
      <c r="B179" s="951" t="s">
        <v>152</v>
      </c>
      <c r="C179" s="952"/>
      <c r="D179" s="952"/>
      <c r="E179" s="952"/>
      <c r="F179" s="952"/>
      <c r="G179" s="953"/>
      <c r="H179" s="1076" t="s">
        <v>155</v>
      </c>
      <c r="I179" s="1077"/>
      <c r="J179" s="1077"/>
      <c r="K179" s="1077"/>
      <c r="L179" s="1077"/>
      <c r="M179" s="1216"/>
      <c r="N179" s="1075"/>
      <c r="O179" s="938"/>
      <c r="P179" s="1051"/>
      <c r="Q179" s="973"/>
      <c r="R179" s="973"/>
      <c r="S179" s="1214"/>
      <c r="T179" s="1423"/>
      <c r="U179" s="1166"/>
      <c r="V179" s="1149"/>
      <c r="W179" s="1289"/>
      <c r="X179" s="938"/>
      <c r="Y179" s="1416"/>
      <c r="Z179" s="1470"/>
      <c r="AA179" s="1436"/>
      <c r="AB179" s="1465"/>
      <c r="AC179" s="1315"/>
      <c r="AD179" s="925"/>
      <c r="AE179" s="927"/>
      <c r="AF179" s="1012"/>
      <c r="AG179" s="997"/>
      <c r="AH179" s="997"/>
      <c r="AI179" s="997"/>
      <c r="AJ179" s="997"/>
      <c r="AK179" s="997"/>
    </row>
    <row r="180" spans="1:43" ht="33" customHeight="1" x14ac:dyDescent="0.3">
      <c r="A180" s="1161" t="s">
        <v>11</v>
      </c>
      <c r="B180" s="963" t="s">
        <v>95</v>
      </c>
      <c r="C180" s="957"/>
      <c r="D180" s="957"/>
      <c r="E180" s="957"/>
      <c r="F180" s="957"/>
      <c r="G180" s="958"/>
      <c r="H180" s="1017" t="s">
        <v>217</v>
      </c>
      <c r="I180" s="1018"/>
      <c r="J180" s="1018"/>
      <c r="K180" s="1018"/>
      <c r="L180" s="1018"/>
      <c r="M180" s="1172"/>
      <c r="N180" s="1075"/>
      <c r="O180" s="938"/>
      <c r="P180" s="1051"/>
      <c r="Q180" s="973"/>
      <c r="R180" s="973"/>
      <c r="S180" s="1214"/>
      <c r="T180" s="1423"/>
      <c r="U180" s="1166"/>
      <c r="V180" s="1149"/>
      <c r="W180" s="1289"/>
      <c r="X180" s="938"/>
      <c r="Y180" s="1416"/>
      <c r="Z180" s="1470"/>
      <c r="AA180" s="1436"/>
      <c r="AB180" s="1465"/>
      <c r="AC180" s="1315"/>
      <c r="AD180" s="925"/>
      <c r="AE180" s="927"/>
      <c r="AF180" s="793"/>
      <c r="AG180" s="606"/>
      <c r="AH180" s="606"/>
      <c r="AI180" s="606"/>
      <c r="AJ180" s="606"/>
      <c r="AK180" s="606"/>
    </row>
    <row r="181" spans="1:43" ht="33" customHeight="1" x14ac:dyDescent="0.3">
      <c r="A181" s="1161"/>
      <c r="B181" s="951" t="s">
        <v>152</v>
      </c>
      <c r="C181" s="952"/>
      <c r="D181" s="952"/>
      <c r="E181" s="952"/>
      <c r="F181" s="952"/>
      <c r="G181" s="953"/>
      <c r="H181" s="1076" t="s">
        <v>155</v>
      </c>
      <c r="I181" s="1077"/>
      <c r="J181" s="1077"/>
      <c r="K181" s="1077"/>
      <c r="L181" s="1077"/>
      <c r="M181" s="1216"/>
      <c r="N181" s="1265"/>
      <c r="O181" s="1053"/>
      <c r="P181" s="1052"/>
      <c r="Q181" s="1511"/>
      <c r="R181" s="1511"/>
      <c r="S181" s="1215"/>
      <c r="T181" s="1536"/>
      <c r="U181" s="1397"/>
      <c r="V181" s="1340"/>
      <c r="W181" s="1290"/>
      <c r="X181" s="1053"/>
      <c r="Y181" s="1417"/>
      <c r="Z181" s="1471"/>
      <c r="AA181" s="1436"/>
      <c r="AB181" s="1466"/>
      <c r="AC181" s="1454"/>
      <c r="AD181" s="926"/>
      <c r="AE181" s="1212"/>
      <c r="AF181" s="790"/>
      <c r="AG181" s="662"/>
      <c r="AH181" s="662"/>
      <c r="AI181" s="662"/>
      <c r="AJ181" s="662"/>
      <c r="AK181" s="662"/>
      <c r="AL181" s="995"/>
      <c r="AM181" s="995"/>
      <c r="AN181" s="995"/>
      <c r="AO181" s="995"/>
      <c r="AP181" s="995"/>
      <c r="AQ181" s="995"/>
    </row>
    <row r="182" spans="1:43" ht="33" customHeight="1" x14ac:dyDescent="0.3">
      <c r="A182" s="1161" t="s">
        <v>6</v>
      </c>
      <c r="B182" s="1017" t="s">
        <v>95</v>
      </c>
      <c r="C182" s="1018"/>
      <c r="D182" s="1018"/>
      <c r="E182" s="1018"/>
      <c r="F182" s="1018"/>
      <c r="G182" s="1172"/>
      <c r="H182" s="963" t="s">
        <v>1365</v>
      </c>
      <c r="I182" s="957"/>
      <c r="J182" s="957"/>
      <c r="K182" s="957"/>
      <c r="L182" s="957"/>
      <c r="M182" s="958"/>
      <c r="N182" s="963" t="s">
        <v>245</v>
      </c>
      <c r="O182" s="957"/>
      <c r="P182" s="957"/>
      <c r="Q182" s="957"/>
      <c r="R182" s="957"/>
      <c r="S182" s="958"/>
      <c r="T182" s="1467" t="s">
        <v>1365</v>
      </c>
      <c r="U182" s="938" t="s">
        <v>569</v>
      </c>
      <c r="V182" s="1324" t="s">
        <v>555</v>
      </c>
      <c r="W182" s="1453" t="s">
        <v>95</v>
      </c>
      <c r="X182" s="1294" t="s">
        <v>625</v>
      </c>
      <c r="Y182" s="1211" t="s">
        <v>554</v>
      </c>
      <c r="Z182" s="1223" t="s">
        <v>245</v>
      </c>
      <c r="AA182" s="1223" t="s">
        <v>570</v>
      </c>
      <c r="AB182" s="1473" t="s">
        <v>477</v>
      </c>
      <c r="AC182" s="1408" t="s">
        <v>217</v>
      </c>
      <c r="AD182" s="938" t="s">
        <v>569</v>
      </c>
      <c r="AE182" s="1183" t="s">
        <v>155</v>
      </c>
      <c r="AL182" s="997"/>
      <c r="AM182" s="997"/>
      <c r="AN182" s="997"/>
      <c r="AO182" s="997"/>
      <c r="AP182" s="997"/>
      <c r="AQ182" s="997"/>
    </row>
    <row r="183" spans="1:43" ht="33" customHeight="1" x14ac:dyDescent="0.3">
      <c r="A183" s="1161"/>
      <c r="B183" s="1076" t="s">
        <v>152</v>
      </c>
      <c r="C183" s="1077"/>
      <c r="D183" s="1077"/>
      <c r="E183" s="1077"/>
      <c r="F183" s="1077"/>
      <c r="G183" s="1216"/>
      <c r="H183" s="951" t="s">
        <v>1140</v>
      </c>
      <c r="I183" s="952"/>
      <c r="J183" s="952"/>
      <c r="K183" s="952"/>
      <c r="L183" s="952"/>
      <c r="M183" s="953"/>
      <c r="N183" s="951" t="s">
        <v>1132</v>
      </c>
      <c r="O183" s="952"/>
      <c r="P183" s="952"/>
      <c r="Q183" s="952"/>
      <c r="R183" s="952"/>
      <c r="S183" s="953"/>
      <c r="T183" s="1075"/>
      <c r="U183" s="938"/>
      <c r="V183" s="1051"/>
      <c r="W183" s="1315"/>
      <c r="X183" s="925"/>
      <c r="Y183" s="927"/>
      <c r="Z183" s="938"/>
      <c r="AA183" s="938"/>
      <c r="AB183" s="1474"/>
      <c r="AC183" s="1289"/>
      <c r="AD183" s="938"/>
      <c r="AE183" s="1184"/>
      <c r="AF183" s="33"/>
      <c r="AL183" s="995"/>
      <c r="AM183" s="995"/>
      <c r="AN183" s="995"/>
      <c r="AO183" s="995"/>
      <c r="AP183" s="995"/>
      <c r="AQ183" s="995"/>
    </row>
    <row r="184" spans="1:43" ht="33" customHeight="1" x14ac:dyDescent="0.3">
      <c r="A184" s="1161" t="s">
        <v>7</v>
      </c>
      <c r="B184" s="1087" t="s">
        <v>95</v>
      </c>
      <c r="C184" s="1025"/>
      <c r="D184" s="1025"/>
      <c r="E184" s="1025"/>
      <c r="F184" s="1025"/>
      <c r="G184" s="1481"/>
      <c r="H184" s="963" t="s">
        <v>1365</v>
      </c>
      <c r="I184" s="957"/>
      <c r="J184" s="957"/>
      <c r="K184" s="957"/>
      <c r="L184" s="957"/>
      <c r="M184" s="958"/>
      <c r="N184" s="994" t="s">
        <v>245</v>
      </c>
      <c r="O184" s="995"/>
      <c r="P184" s="995"/>
      <c r="Q184" s="995"/>
      <c r="R184" s="995"/>
      <c r="S184" s="996"/>
      <c r="T184" s="1075"/>
      <c r="U184" s="938"/>
      <c r="V184" s="1051"/>
      <c r="W184" s="1315"/>
      <c r="X184" s="925"/>
      <c r="Y184" s="927"/>
      <c r="Z184" s="938"/>
      <c r="AA184" s="938"/>
      <c r="AB184" s="1474"/>
      <c r="AC184" s="1289"/>
      <c r="AD184" s="938"/>
      <c r="AE184" s="1184"/>
      <c r="AH184" s="791"/>
      <c r="AI184" s="652"/>
      <c r="AJ184" s="792"/>
      <c r="AL184" s="997"/>
      <c r="AM184" s="997"/>
      <c r="AN184" s="997"/>
      <c r="AO184" s="997"/>
      <c r="AP184" s="997"/>
      <c r="AQ184" s="997"/>
    </row>
    <row r="185" spans="1:43" ht="33" customHeight="1" x14ac:dyDescent="0.25">
      <c r="A185" s="1161"/>
      <c r="B185" s="1076" t="s">
        <v>152</v>
      </c>
      <c r="C185" s="1077"/>
      <c r="D185" s="1077"/>
      <c r="E185" s="1077"/>
      <c r="F185" s="1077"/>
      <c r="G185" s="1216"/>
      <c r="H185" s="951" t="s">
        <v>1140</v>
      </c>
      <c r="I185" s="952"/>
      <c r="J185" s="952"/>
      <c r="K185" s="952"/>
      <c r="L185" s="952"/>
      <c r="M185" s="953"/>
      <c r="N185" s="951" t="s">
        <v>1132</v>
      </c>
      <c r="O185" s="952"/>
      <c r="P185" s="952"/>
      <c r="Q185" s="952"/>
      <c r="R185" s="952"/>
      <c r="S185" s="953"/>
      <c r="T185" s="1265"/>
      <c r="U185" s="938"/>
      <c r="V185" s="1052"/>
      <c r="W185" s="1454"/>
      <c r="X185" s="926"/>
      <c r="Y185" s="1212"/>
      <c r="Z185" s="1053"/>
      <c r="AA185" s="1053"/>
      <c r="AB185" s="1475"/>
      <c r="AC185" s="1290"/>
      <c r="AD185" s="1053"/>
      <c r="AE185" s="1279"/>
      <c r="AH185" s="791"/>
      <c r="AI185" s="652"/>
      <c r="AJ185" s="792"/>
    </row>
    <row r="186" spans="1:43" ht="33" customHeight="1" x14ac:dyDescent="0.3">
      <c r="A186" s="1483" t="s">
        <v>8</v>
      </c>
      <c r="B186" s="1422"/>
      <c r="C186" s="1166"/>
      <c r="D186" s="1357"/>
      <c r="E186" s="925" t="s">
        <v>1158</v>
      </c>
      <c r="F186" s="925" t="s">
        <v>625</v>
      </c>
      <c r="G186" s="927" t="s">
        <v>554</v>
      </c>
      <c r="H186" s="963" t="s">
        <v>217</v>
      </c>
      <c r="I186" s="957"/>
      <c r="J186" s="957"/>
      <c r="K186" s="957"/>
      <c r="L186" s="957"/>
      <c r="M186" s="958"/>
      <c r="N186" s="96"/>
      <c r="O186" s="84"/>
      <c r="P186" s="84"/>
      <c r="Q186" s="1447" t="s">
        <v>1158</v>
      </c>
      <c r="R186" s="1477"/>
      <c r="S186" s="1479" t="s">
        <v>152</v>
      </c>
      <c r="T186" s="1467" t="s">
        <v>95</v>
      </c>
      <c r="U186" s="1223" t="s">
        <v>569</v>
      </c>
      <c r="V186" s="1324" t="s">
        <v>554</v>
      </c>
      <c r="W186" s="1289" t="s">
        <v>1365</v>
      </c>
      <c r="X186" s="938" t="s">
        <v>570</v>
      </c>
      <c r="Y186" s="1184" t="s">
        <v>555</v>
      </c>
      <c r="Z186" s="1422"/>
      <c r="AA186" s="1165"/>
      <c r="AB186" s="1356"/>
      <c r="AC186" s="1165"/>
      <c r="AD186" s="1165"/>
      <c r="AE186" s="1526"/>
      <c r="AH186" s="791"/>
      <c r="AI186" s="652"/>
      <c r="AJ186" s="792"/>
    </row>
    <row r="187" spans="1:43" ht="33" customHeight="1" x14ac:dyDescent="0.25">
      <c r="A187" s="1486"/>
      <c r="B187" s="1423"/>
      <c r="C187" s="1166"/>
      <c r="D187" s="1357"/>
      <c r="E187" s="925"/>
      <c r="F187" s="925"/>
      <c r="G187" s="927"/>
      <c r="H187" s="951" t="s">
        <v>155</v>
      </c>
      <c r="I187" s="952"/>
      <c r="J187" s="952"/>
      <c r="K187" s="952"/>
      <c r="L187" s="952"/>
      <c r="M187" s="953"/>
      <c r="N187" s="499"/>
      <c r="O187" s="375"/>
      <c r="P187" s="375"/>
      <c r="Q187" s="1448"/>
      <c r="R187" s="1407"/>
      <c r="S187" s="1479"/>
      <c r="T187" s="1075"/>
      <c r="U187" s="938"/>
      <c r="V187" s="1051"/>
      <c r="W187" s="1289"/>
      <c r="X187" s="938"/>
      <c r="Y187" s="1184"/>
      <c r="Z187" s="1423"/>
      <c r="AA187" s="1166"/>
      <c r="AB187" s="1357"/>
      <c r="AC187" s="1166"/>
      <c r="AD187" s="1166"/>
      <c r="AE187" s="1527"/>
      <c r="AF187" s="33"/>
      <c r="AH187" s="791"/>
      <c r="AI187" s="652"/>
      <c r="AJ187" s="792"/>
    </row>
    <row r="188" spans="1:43" ht="33" customHeight="1" x14ac:dyDescent="0.3">
      <c r="A188" s="1483" t="s">
        <v>9</v>
      </c>
      <c r="B188" s="1423"/>
      <c r="C188" s="1166"/>
      <c r="D188" s="1357"/>
      <c r="E188" s="925"/>
      <c r="F188" s="925"/>
      <c r="G188" s="927"/>
      <c r="H188" s="994" t="s">
        <v>217</v>
      </c>
      <c r="I188" s="995"/>
      <c r="J188" s="995"/>
      <c r="K188" s="995"/>
      <c r="L188" s="995"/>
      <c r="M188" s="996"/>
      <c r="N188" s="96"/>
      <c r="O188" s="84"/>
      <c r="P188" s="84"/>
      <c r="Q188" s="1448"/>
      <c r="R188" s="1407"/>
      <c r="S188" s="1479"/>
      <c r="T188" s="1075"/>
      <c r="U188" s="938"/>
      <c r="V188" s="1051"/>
      <c r="W188" s="1289"/>
      <c r="X188" s="938"/>
      <c r="Y188" s="1184"/>
      <c r="Z188" s="1423"/>
      <c r="AA188" s="1166"/>
      <c r="AB188" s="1357"/>
      <c r="AC188" s="1166"/>
      <c r="AD188" s="1166"/>
      <c r="AE188" s="1527"/>
      <c r="AG188" s="1512"/>
      <c r="AH188" s="1429"/>
      <c r="AI188" s="1429"/>
      <c r="AJ188" s="1429"/>
      <c r="AK188" s="1429"/>
      <c r="AL188" s="390"/>
    </row>
    <row r="189" spans="1:43" ht="33" customHeight="1" thickBot="1" x14ac:dyDescent="0.3">
      <c r="A189" s="1484"/>
      <c r="B189" s="1480"/>
      <c r="C189" s="1166"/>
      <c r="D189" s="1357"/>
      <c r="E189" s="926"/>
      <c r="F189" s="925"/>
      <c r="G189" s="927"/>
      <c r="H189" s="1115" t="s">
        <v>155</v>
      </c>
      <c r="I189" s="1116"/>
      <c r="J189" s="1116"/>
      <c r="K189" s="1116"/>
      <c r="L189" s="1116"/>
      <c r="M189" s="1117"/>
      <c r="N189" s="770"/>
      <c r="O189" s="293"/>
      <c r="P189" s="293"/>
      <c r="Q189" s="1476"/>
      <c r="R189" s="1478"/>
      <c r="S189" s="1479"/>
      <c r="T189" s="1482"/>
      <c r="U189" s="938"/>
      <c r="V189" s="1485"/>
      <c r="W189" s="1290"/>
      <c r="X189" s="1053"/>
      <c r="Y189" s="1279"/>
      <c r="Z189" s="1480"/>
      <c r="AA189" s="1166"/>
      <c r="AB189" s="1519"/>
      <c r="AC189" s="1166"/>
      <c r="AD189" s="1166"/>
      <c r="AE189" s="1528"/>
      <c r="AG189" s="984"/>
      <c r="AH189" s="985"/>
      <c r="AI189" s="985"/>
      <c r="AJ189" s="985"/>
      <c r="AK189" s="985"/>
      <c r="AL189" s="985"/>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33" t="s">
        <v>214</v>
      </c>
      <c r="B191" s="935"/>
      <c r="C191" s="934" t="s">
        <v>215</v>
      </c>
      <c r="D191" s="934"/>
      <c r="E191" s="934"/>
      <c r="F191" s="934"/>
      <c r="G191" s="934"/>
      <c r="H191" s="934"/>
      <c r="I191" s="934"/>
      <c r="J191" s="934"/>
      <c r="K191" s="934"/>
      <c r="L191" s="58"/>
      <c r="M191" s="1034" t="s">
        <v>313</v>
      </c>
      <c r="N191" s="1035"/>
      <c r="O191" s="934" t="s">
        <v>139</v>
      </c>
      <c r="P191" s="935"/>
      <c r="Q191" s="934" t="s">
        <v>163</v>
      </c>
      <c r="R191" s="934"/>
      <c r="S191" s="934"/>
      <c r="T191" s="934"/>
      <c r="U191" s="934"/>
      <c r="V191" s="934"/>
      <c r="W191" s="934"/>
      <c r="X191" s="934"/>
      <c r="Y191" s="934"/>
      <c r="Z191" s="934"/>
      <c r="AA191" s="934"/>
      <c r="AB191" s="934"/>
      <c r="AC191" s="934"/>
      <c r="AD191" s="934"/>
      <c r="AE191" s="935"/>
      <c r="AH191" s="8"/>
    </row>
    <row r="192" spans="1:43" ht="13.8" x14ac:dyDescent="0.25">
      <c r="A192" s="1188" t="str">
        <f>VLOOKUP(M192,ASIGNATURAS!$F$1:$L$1022, 3, FALSE)</f>
        <v>INVESTIGACION II</v>
      </c>
      <c r="B192" s="1189"/>
      <c r="C192" s="981" t="str">
        <f>VLOOKUP(M192,ASIGNATURAS!$F$1:$L$1022, 4, FALSE)</f>
        <v>Investigación operativa II</v>
      </c>
      <c r="D192" s="982"/>
      <c r="E192" s="982"/>
      <c r="F192" s="982"/>
      <c r="G192" s="982"/>
      <c r="H192" s="982"/>
      <c r="I192" s="982"/>
      <c r="J192" s="982"/>
      <c r="K192" s="982"/>
      <c r="L192" s="983"/>
      <c r="M192" s="936">
        <v>9140</v>
      </c>
      <c r="N192" s="937"/>
      <c r="O192" s="936">
        <f>VLOOKUP(M192,ASIGNATURAS!$F$1:$L$1022, 5, FALSE)</f>
        <v>6</v>
      </c>
      <c r="P192" s="937"/>
      <c r="Q192" s="981" t="str">
        <f>VLOOKUP(M192,ASIGNATURAS!$F$1:$L$1022, 6, FALSE)</f>
        <v>Susana García Herrero</v>
      </c>
      <c r="R192" s="982"/>
      <c r="S192" s="982"/>
      <c r="T192" s="982"/>
      <c r="U192" s="982"/>
      <c r="V192" s="982"/>
      <c r="W192" s="982"/>
      <c r="X192" s="982"/>
      <c r="Y192" s="982"/>
      <c r="Z192" s="982"/>
      <c r="AA192" s="982"/>
      <c r="AB192" s="982"/>
      <c r="AC192" s="982"/>
      <c r="AD192" s="982"/>
      <c r="AE192" s="983"/>
    </row>
    <row r="193" spans="1:35" ht="13.8" x14ac:dyDescent="0.25">
      <c r="A193" s="1188" t="str">
        <f>VLOOKUP(M193,ASIGNATURAS!$F$1:$L$1022, 3, FALSE)</f>
        <v>CALIDAD</v>
      </c>
      <c r="B193" s="1189"/>
      <c r="C193" s="981" t="str">
        <f>VLOOKUP(M193,ASIGNATURAS!$F$1:$L$1022, 4, FALSE)</f>
        <v>Calidad (Español/inglés)</v>
      </c>
      <c r="D193" s="982"/>
      <c r="E193" s="982"/>
      <c r="F193" s="982"/>
      <c r="G193" s="982"/>
      <c r="H193" s="982"/>
      <c r="I193" s="982"/>
      <c r="J193" s="982"/>
      <c r="K193" s="982"/>
      <c r="L193" s="983"/>
      <c r="M193" s="936">
        <v>9141</v>
      </c>
      <c r="N193" s="937"/>
      <c r="O193" s="936">
        <f>VLOOKUP(M193,ASIGNATURAS!$F$1:$L$1022, 5, FALSE)</f>
        <v>6</v>
      </c>
      <c r="P193" s="937"/>
      <c r="Q193" s="981" t="str">
        <f>VLOOKUP(M193,ASIGNATURAS!$F$1:$L$1022, 6, FALSE)</f>
        <v>Ignacio Fontaneda</v>
      </c>
      <c r="R193" s="982"/>
      <c r="S193" s="982"/>
      <c r="T193" s="982"/>
      <c r="U193" s="982"/>
      <c r="V193" s="982"/>
      <c r="W193" s="982"/>
      <c r="X193" s="982"/>
      <c r="Y193" s="982"/>
      <c r="Z193" s="982"/>
      <c r="AA193" s="982"/>
      <c r="AB193" s="982"/>
      <c r="AC193" s="982"/>
      <c r="AD193" s="982"/>
      <c r="AE193" s="983"/>
      <c r="AH193" s="2"/>
    </row>
    <row r="194" spans="1:35" ht="15" customHeight="1" x14ac:dyDescent="0.25">
      <c r="A194" s="1188" t="str">
        <f>VLOOKUP(M194,ASIGNATURAS!$F$1:$L$1022, 3, FALSE)</f>
        <v>DIR. FINANCIERA</v>
      </c>
      <c r="B194" s="1189"/>
      <c r="C194" s="1487" t="str">
        <f>VLOOKUP(M194,ASIGNATURAS!$F$1:$L$1022, 4, FALSE)</f>
        <v>Dirección financiera (Español/Inglés)</v>
      </c>
      <c r="D194" s="1488"/>
      <c r="E194" s="1488"/>
      <c r="F194" s="1488"/>
      <c r="G194" s="1488"/>
      <c r="H194" s="1488"/>
      <c r="I194" s="1488"/>
      <c r="J194" s="1488"/>
      <c r="K194" s="1488"/>
      <c r="L194" s="1489"/>
      <c r="M194" s="936">
        <v>9142</v>
      </c>
      <c r="N194" s="937"/>
      <c r="O194" s="936">
        <f>VLOOKUP(M194,ASIGNATURAS!$F$1:$L$1022, 5, FALSE)</f>
        <v>6</v>
      </c>
      <c r="P194" s="937"/>
      <c r="Q194" s="981" t="str">
        <f>VLOOKUP(M194,ASIGNATURAS!$F$1:$L$1022, 6, FALSE)</f>
        <v>Luis R. Izquierdo, Luis Santiago García</v>
      </c>
      <c r="R194" s="982"/>
      <c r="S194" s="982"/>
      <c r="T194" s="982"/>
      <c r="U194" s="982"/>
      <c r="V194" s="982"/>
      <c r="W194" s="982"/>
      <c r="X194" s="982"/>
      <c r="Y194" s="982"/>
      <c r="Z194" s="982"/>
      <c r="AA194" s="982"/>
      <c r="AB194" s="982"/>
      <c r="AC194" s="982"/>
      <c r="AD194" s="982"/>
      <c r="AE194" s="983"/>
    </row>
    <row r="195" spans="1:35" ht="15" customHeight="1" x14ac:dyDescent="0.25">
      <c r="A195" s="1188" t="str">
        <f>VLOOKUP(M195,ASIGNATURAS!$F$1:$L$1022, 3, FALSE)</f>
        <v>DISEÑO</v>
      </c>
      <c r="B195" s="1189"/>
      <c r="C195" s="1487" t="str">
        <f>VLOOKUP(M195,ASIGNATURAS!$F$1:$L$1022, 4, FALSE)</f>
        <v xml:space="preserve">Diseño, Plan y Control de Sist Prod E/I
Design, Planning and Control of Productive Systems </v>
      </c>
      <c r="D195" s="1488"/>
      <c r="E195" s="1488"/>
      <c r="F195" s="1488"/>
      <c r="G195" s="1488"/>
      <c r="H195" s="1488"/>
      <c r="I195" s="1488"/>
      <c r="J195" s="1488"/>
      <c r="K195" s="1488"/>
      <c r="L195" s="1489"/>
      <c r="M195" s="936">
        <v>9143</v>
      </c>
      <c r="N195" s="937"/>
      <c r="O195" s="936">
        <f>VLOOKUP(M195,ASIGNATURAS!$F$1:$L$1022, 5, FALSE)</f>
        <v>6</v>
      </c>
      <c r="P195" s="937"/>
      <c r="Q195" s="981" t="str">
        <f>VLOOKUP(M195,ASIGNATURAS!$F$1:$L$1022, 6, FALSE)</f>
        <v>Juan José Lavios</v>
      </c>
      <c r="R195" s="982"/>
      <c r="S195" s="982"/>
      <c r="T195" s="982"/>
      <c r="U195" s="982"/>
      <c r="V195" s="982"/>
      <c r="W195" s="982"/>
      <c r="X195" s="982"/>
      <c r="Y195" s="982"/>
      <c r="Z195" s="982"/>
      <c r="AA195" s="982"/>
      <c r="AB195" s="982"/>
      <c r="AC195" s="982"/>
      <c r="AD195" s="982"/>
      <c r="AE195" s="983"/>
    </row>
    <row r="196" spans="1:35" ht="15" customHeight="1" thickBot="1" x14ac:dyDescent="0.3">
      <c r="A196" s="1188" t="str">
        <f>VLOOKUP(M196,ASIGNATURAS!$F$1:$L$1022, 3, FALSE)</f>
        <v>M.AMB Y RENOV.</v>
      </c>
      <c r="B196" s="1189"/>
      <c r="C196" s="1022" t="str">
        <f>VLOOKUP(M196,ASIGNATURAS!$F$1:$L$1022, 4, FALSE)</f>
        <v>Medio Ambiente y Energías Renovables</v>
      </c>
      <c r="D196" s="1023"/>
      <c r="E196" s="1023"/>
      <c r="F196" s="1023"/>
      <c r="G196" s="1023"/>
      <c r="H196" s="1023"/>
      <c r="I196" s="1023"/>
      <c r="J196" s="1023"/>
      <c r="K196" s="1023"/>
      <c r="L196" s="1024"/>
      <c r="M196" s="1295">
        <v>9144</v>
      </c>
      <c r="N196" s="1296"/>
      <c r="O196" s="1295">
        <f>VLOOKUP(M196,ASIGNATURAS!$F$1:$L$1022, 5, FALSE)</f>
        <v>6</v>
      </c>
      <c r="P196" s="1296"/>
      <c r="Q196" s="1513" t="str">
        <f>VLOOKUP(M196,ASIGNATURAS!$F$1:$L$1022, 6, FALSE)</f>
        <v>Alfonso Blasco Sanz, Fco. Javier Rodríguez Vidal</v>
      </c>
      <c r="R196" s="1023"/>
      <c r="S196" s="1023"/>
      <c r="T196" s="1023"/>
      <c r="U196" s="1023"/>
      <c r="V196" s="1023"/>
      <c r="W196" s="1023"/>
      <c r="X196" s="1023"/>
      <c r="Y196" s="1023"/>
      <c r="Z196" s="1023"/>
      <c r="AA196" s="1023"/>
      <c r="AB196" s="1023"/>
      <c r="AC196" s="1023"/>
      <c r="AD196" s="1023"/>
      <c r="AE196" s="1024"/>
    </row>
    <row r="198" spans="1:35" x14ac:dyDescent="0.25">
      <c r="AH198" s="2"/>
    </row>
    <row r="199" spans="1:35" ht="24" customHeight="1" x14ac:dyDescent="0.25">
      <c r="A199" s="1145" t="s">
        <v>1011</v>
      </c>
      <c r="B199" s="1145"/>
      <c r="C199" s="1145"/>
      <c r="D199" s="1145"/>
      <c r="E199" s="1145"/>
    </row>
    <row r="200" spans="1:35" ht="24" customHeight="1" x14ac:dyDescent="0.25">
      <c r="A200" s="1148" t="s">
        <v>1007</v>
      </c>
      <c r="B200" s="1148"/>
      <c r="C200" s="1148"/>
      <c r="D200" s="1148"/>
      <c r="E200" s="1148"/>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1135" t="str">
        <f>VLOOKUP(A208,ASIGNATURAS!$A$2:$D$151, 3, FALSE)</f>
        <v>4º Grado en Ingeniería de Organización Industrial</v>
      </c>
      <c r="B205" s="1136"/>
      <c r="C205" s="1136"/>
      <c r="D205" s="1136"/>
      <c r="E205" s="1136"/>
      <c r="F205" s="1136"/>
      <c r="G205" s="1136"/>
      <c r="H205" s="1136"/>
      <c r="I205" s="1136"/>
      <c r="J205" s="1136"/>
      <c r="K205" s="1136"/>
      <c r="L205" s="1136"/>
      <c r="M205" s="1136"/>
      <c r="N205" s="1136"/>
      <c r="O205" s="1136"/>
      <c r="P205" s="1136"/>
      <c r="Q205" s="1136"/>
      <c r="R205" s="1136"/>
      <c r="S205" s="1136"/>
      <c r="T205" s="1136"/>
      <c r="U205" s="1136"/>
      <c r="V205" s="1136"/>
      <c r="W205" s="1136"/>
      <c r="X205" s="1136"/>
      <c r="Y205" s="1137"/>
      <c r="Z205" s="1064" t="str">
        <f>Z1</f>
        <v>Curso 2024-2025</v>
      </c>
      <c r="AA205" s="1065"/>
      <c r="AB205" s="1065"/>
      <c r="AC205" s="1065"/>
      <c r="AD205" s="1065"/>
      <c r="AE205" s="1066"/>
      <c r="AG205"/>
      <c r="AH205"/>
      <c r="AI205"/>
    </row>
    <row r="206" spans="1:35" s="8" customFormat="1" ht="23.25" customHeight="1" thickBot="1" x14ac:dyDescent="0.45">
      <c r="A206" s="1132" t="str">
        <f>VLOOKUP(A208,ASIGNATURAS!$A$2:$D$151, 2, FALSE)</f>
        <v>Semestre temporal: 1º        (7º Semestre Académico)</v>
      </c>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3"/>
      <c r="W206" s="1133"/>
      <c r="X206" s="1133"/>
      <c r="Y206" s="1134"/>
      <c r="Z206" s="1013" t="s">
        <v>1199</v>
      </c>
      <c r="AA206" s="1013"/>
      <c r="AB206" s="1013"/>
      <c r="AC206" s="1013"/>
      <c r="AD206" s="1013"/>
      <c r="AE206" s="1014"/>
      <c r="AG206"/>
      <c r="AH206"/>
      <c r="AI206"/>
    </row>
    <row r="207" spans="1:35" s="8" customFormat="1" ht="23.25" customHeight="1" thickBot="1" x14ac:dyDescent="0.45">
      <c r="A207" s="1132" t="s">
        <v>177</v>
      </c>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3"/>
      <c r="W207" s="1133"/>
      <c r="X207" s="1133"/>
      <c r="Y207" s="1134"/>
      <c r="Z207" s="1015"/>
      <c r="AA207" s="1015"/>
      <c r="AB207" s="1015"/>
      <c r="AC207" s="1015"/>
      <c r="AD207" s="1015"/>
      <c r="AE207" s="1016"/>
      <c r="AG207"/>
      <c r="AH207"/>
      <c r="AI207"/>
    </row>
    <row r="208" spans="1:35" ht="38.25" customHeight="1" thickBot="1" x14ac:dyDescent="0.3">
      <c r="A208" s="9" t="s">
        <v>64</v>
      </c>
      <c r="AG208" s="2"/>
      <c r="AI208" s="2"/>
    </row>
    <row r="209" spans="1:40" ht="27" customHeight="1" thickBot="1" x14ac:dyDescent="0.35">
      <c r="A209" s="24" t="s">
        <v>1</v>
      </c>
      <c r="B209" s="1064" t="s">
        <v>2</v>
      </c>
      <c r="C209" s="1065"/>
      <c r="D209" s="1065"/>
      <c r="E209" s="1065"/>
      <c r="F209" s="1065"/>
      <c r="G209" s="1066"/>
      <c r="H209" s="975" t="s">
        <v>3</v>
      </c>
      <c r="I209" s="976"/>
      <c r="J209" s="976"/>
      <c r="K209" s="976"/>
      <c r="L209" s="976"/>
      <c r="M209" s="977"/>
      <c r="N209" s="975" t="s">
        <v>135</v>
      </c>
      <c r="O209" s="976"/>
      <c r="P209" s="976"/>
      <c r="Q209" s="976"/>
      <c r="R209" s="976"/>
      <c r="S209" s="977"/>
      <c r="T209" s="975" t="s">
        <v>4</v>
      </c>
      <c r="U209" s="976"/>
      <c r="V209" s="976"/>
      <c r="W209" s="976"/>
      <c r="X209" s="976"/>
      <c r="Y209" s="977"/>
      <c r="Z209" s="975" t="s">
        <v>5</v>
      </c>
      <c r="AA209" s="976"/>
      <c r="AB209" s="976"/>
      <c r="AC209" s="976"/>
      <c r="AD209" s="976"/>
      <c r="AE209" s="977"/>
      <c r="AF209" s="1039"/>
      <c r="AG209" s="1039"/>
      <c r="AH209" s="1039"/>
      <c r="AI209" s="1039"/>
      <c r="AJ209" s="1039"/>
      <c r="AK209" s="1039"/>
    </row>
    <row r="210" spans="1:40" ht="27" customHeight="1" x14ac:dyDescent="0.3">
      <c r="A210" s="1128" t="s">
        <v>1091</v>
      </c>
      <c r="B210" s="963" t="s">
        <v>1367</v>
      </c>
      <c r="C210" s="957"/>
      <c r="D210" s="957"/>
      <c r="E210" s="957"/>
      <c r="F210" s="957"/>
      <c r="G210" s="958"/>
      <c r="H210" s="986" t="s">
        <v>84</v>
      </c>
      <c r="I210" s="987"/>
      <c r="J210" s="987"/>
      <c r="K210" s="987"/>
      <c r="L210" s="987"/>
      <c r="M210" s="988"/>
      <c r="N210" s="986" t="s">
        <v>1367</v>
      </c>
      <c r="O210" s="987"/>
      <c r="P210" s="987"/>
      <c r="Q210" s="987"/>
      <c r="R210" s="987"/>
      <c r="S210" s="988"/>
      <c r="T210" s="963" t="s">
        <v>1367</v>
      </c>
      <c r="U210" s="957"/>
      <c r="V210" s="957"/>
      <c r="W210" s="957"/>
      <c r="X210" s="957"/>
      <c r="Y210" s="958"/>
      <c r="Z210" s="1062"/>
      <c r="AA210" s="1020"/>
      <c r="AB210" s="1020"/>
      <c r="AC210" s="1020"/>
      <c r="AD210" s="1020"/>
      <c r="AE210" s="1063"/>
      <c r="AF210" s="1059"/>
      <c r="AG210" s="1060"/>
      <c r="AH210" s="1060"/>
      <c r="AI210" s="1060"/>
      <c r="AJ210" s="1060"/>
      <c r="AK210" s="1060"/>
    </row>
    <row r="211" spans="1:40" ht="27" customHeight="1" x14ac:dyDescent="0.3">
      <c r="A211" s="1105"/>
      <c r="B211" s="951" t="s">
        <v>150</v>
      </c>
      <c r="C211" s="952"/>
      <c r="D211" s="952"/>
      <c r="E211" s="952"/>
      <c r="F211" s="952"/>
      <c r="G211" s="953"/>
      <c r="H211" s="1072" t="s">
        <v>528</v>
      </c>
      <c r="I211" s="1073"/>
      <c r="J211" s="1073"/>
      <c r="K211" s="1073"/>
      <c r="L211" s="1073"/>
      <c r="M211" s="1074"/>
      <c r="N211" s="1072" t="s">
        <v>150</v>
      </c>
      <c r="O211" s="1073"/>
      <c r="P211" s="1073"/>
      <c r="Q211" s="1073"/>
      <c r="R211" s="1073"/>
      <c r="S211" s="1074"/>
      <c r="T211" s="951" t="s">
        <v>156</v>
      </c>
      <c r="U211" s="952"/>
      <c r="V211" s="952"/>
      <c r="W211" s="952"/>
      <c r="X211" s="952"/>
      <c r="Y211" s="953"/>
      <c r="Z211" s="964"/>
      <c r="AA211" s="965"/>
      <c r="AB211" s="965"/>
      <c r="AC211" s="965"/>
      <c r="AD211" s="965"/>
      <c r="AE211" s="1027"/>
      <c r="AF211" s="1038"/>
      <c r="AG211" s="1039"/>
      <c r="AH211" s="1039"/>
      <c r="AI211" s="1039"/>
      <c r="AJ211" s="1039"/>
      <c r="AK211" s="1039"/>
    </row>
    <row r="212" spans="1:40" ht="27" customHeight="1" x14ac:dyDescent="0.3">
      <c r="A212" s="1100" t="s">
        <v>183</v>
      </c>
      <c r="B212" s="963" t="s">
        <v>84</v>
      </c>
      <c r="C212" s="957"/>
      <c r="D212" s="957"/>
      <c r="E212" s="957"/>
      <c r="F212" s="957"/>
      <c r="G212" s="958"/>
      <c r="H212" s="986" t="s">
        <v>84</v>
      </c>
      <c r="I212" s="987"/>
      <c r="J212" s="987"/>
      <c r="K212" s="987"/>
      <c r="L212" s="987"/>
      <c r="M212" s="988"/>
      <c r="N212" s="986" t="s">
        <v>1367</v>
      </c>
      <c r="O212" s="987"/>
      <c r="P212" s="987"/>
      <c r="Q212" s="987"/>
      <c r="R212" s="987"/>
      <c r="S212" s="988"/>
      <c r="T212" s="1122" t="s">
        <v>1157</v>
      </c>
      <c r="U212" s="1123"/>
      <c r="V212" s="1123"/>
      <c r="W212" s="1123"/>
      <c r="X212" s="1123"/>
      <c r="Y212" s="1124"/>
      <c r="Z212" s="1062"/>
      <c r="AA212" s="1020"/>
      <c r="AB212" s="1020"/>
      <c r="AC212" s="1020"/>
      <c r="AD212" s="1020"/>
      <c r="AE212" s="1063"/>
      <c r="AF212" s="1059"/>
      <c r="AG212" s="1060"/>
      <c r="AH212" s="1060"/>
      <c r="AI212" s="1060"/>
      <c r="AJ212" s="1060"/>
      <c r="AK212" s="1060"/>
    </row>
    <row r="213" spans="1:40" s="2" customFormat="1" ht="27" customHeight="1" x14ac:dyDescent="0.25">
      <c r="A213" s="1105"/>
      <c r="B213" s="951" t="s">
        <v>150</v>
      </c>
      <c r="C213" s="952"/>
      <c r="D213" s="952"/>
      <c r="E213" s="952"/>
      <c r="F213" s="952"/>
      <c r="G213" s="953"/>
      <c r="H213" s="1072" t="s">
        <v>528</v>
      </c>
      <c r="I213" s="1073"/>
      <c r="J213" s="1073"/>
      <c r="K213" s="1073"/>
      <c r="L213" s="1073"/>
      <c r="M213" s="1074"/>
      <c r="N213" s="1072" t="s">
        <v>150</v>
      </c>
      <c r="O213" s="1073"/>
      <c r="P213" s="1073"/>
      <c r="Q213" s="1073"/>
      <c r="R213" s="1073"/>
      <c r="S213" s="1074"/>
      <c r="T213" s="1041" t="s">
        <v>156</v>
      </c>
      <c r="U213" s="1042"/>
      <c r="V213" s="1042"/>
      <c r="W213" s="1042"/>
      <c r="X213" s="1042"/>
      <c r="Y213" s="1043"/>
      <c r="Z213" s="964"/>
      <c r="AA213" s="965"/>
      <c r="AB213" s="965"/>
      <c r="AC213" s="965"/>
      <c r="AD213" s="965"/>
      <c r="AE213" s="1027"/>
      <c r="AF213" s="1075"/>
      <c r="AG213" s="938"/>
      <c r="AH213" s="1061"/>
      <c r="AI213" s="1061"/>
      <c r="AJ213" s="1001"/>
      <c r="AK213" s="1001"/>
    </row>
    <row r="214" spans="1:40" ht="30" customHeight="1" x14ac:dyDescent="0.3">
      <c r="A214" s="1100" t="s">
        <v>182</v>
      </c>
      <c r="B214" s="963" t="s">
        <v>1366</v>
      </c>
      <c r="C214" s="957"/>
      <c r="D214" s="957"/>
      <c r="E214" s="957"/>
      <c r="F214" s="957"/>
      <c r="G214" s="958"/>
      <c r="H214" s="986" t="s">
        <v>84</v>
      </c>
      <c r="I214" s="987"/>
      <c r="J214" s="987"/>
      <c r="K214" s="987"/>
      <c r="L214" s="987"/>
      <c r="M214" s="988"/>
      <c r="N214" s="1095" t="s">
        <v>1366</v>
      </c>
      <c r="O214" s="1096"/>
      <c r="P214" s="1096"/>
      <c r="Q214" s="1096"/>
      <c r="R214" s="1096"/>
      <c r="S214" s="1097"/>
      <c r="T214" s="1501" t="s">
        <v>1157</v>
      </c>
      <c r="U214" s="1502"/>
      <c r="V214" s="1502"/>
      <c r="W214" s="1502"/>
      <c r="X214" s="1502"/>
      <c r="Y214" s="1503"/>
      <c r="Z214" s="1062"/>
      <c r="AA214" s="1020"/>
      <c r="AB214" s="1020"/>
      <c r="AC214" s="1020"/>
      <c r="AD214" s="1020"/>
      <c r="AE214" s="1063"/>
      <c r="AF214" s="1075"/>
      <c r="AG214" s="938"/>
      <c r="AH214" s="1067"/>
      <c r="AI214" s="1067"/>
      <c r="AJ214" s="1068"/>
      <c r="AK214" s="1068"/>
      <c r="AL214" s="20"/>
    </row>
    <row r="215" spans="1:40" ht="25.5" customHeight="1" x14ac:dyDescent="0.25">
      <c r="A215" s="1105"/>
      <c r="B215" s="951" t="s">
        <v>150</v>
      </c>
      <c r="C215" s="952"/>
      <c r="D215" s="952"/>
      <c r="E215" s="952"/>
      <c r="F215" s="952"/>
      <c r="G215" s="953"/>
      <c r="H215" s="1072" t="s">
        <v>528</v>
      </c>
      <c r="I215" s="1073"/>
      <c r="J215" s="1073"/>
      <c r="K215" s="1073"/>
      <c r="L215" s="1073"/>
      <c r="M215" s="1074"/>
      <c r="N215" s="1072" t="s">
        <v>554</v>
      </c>
      <c r="O215" s="1073"/>
      <c r="P215" s="1073"/>
      <c r="Q215" s="1073"/>
      <c r="R215" s="1073"/>
      <c r="S215" s="1074"/>
      <c r="T215" s="1079" t="s">
        <v>156</v>
      </c>
      <c r="U215" s="1080"/>
      <c r="V215" s="1080"/>
      <c r="W215" s="1080"/>
      <c r="X215" s="1080"/>
      <c r="Y215" s="1081"/>
      <c r="Z215" s="964"/>
      <c r="AA215" s="965"/>
      <c r="AB215" s="965"/>
      <c r="AC215" s="965"/>
      <c r="AD215" s="965"/>
      <c r="AE215" s="1027"/>
      <c r="AF215" s="1075"/>
      <c r="AG215" s="938"/>
      <c r="AH215" s="1061"/>
      <c r="AI215" s="1061"/>
      <c r="AJ215" s="1001"/>
      <c r="AK215" s="1001"/>
      <c r="AL215" s="20"/>
    </row>
    <row r="216" spans="1:40" ht="30" customHeight="1" x14ac:dyDescent="0.3">
      <c r="A216" s="1100" t="s">
        <v>184</v>
      </c>
      <c r="B216" s="963" t="s">
        <v>1366</v>
      </c>
      <c r="C216" s="957"/>
      <c r="D216" s="957"/>
      <c r="E216" s="957"/>
      <c r="F216" s="957"/>
      <c r="G216" s="958"/>
      <c r="H216" s="1038" t="s">
        <v>1157</v>
      </c>
      <c r="I216" s="1039"/>
      <c r="J216" s="1039"/>
      <c r="K216" s="1039"/>
      <c r="L216" s="1039"/>
      <c r="M216" s="1040"/>
      <c r="N216" s="986" t="s">
        <v>1157</v>
      </c>
      <c r="O216" s="987"/>
      <c r="P216" s="987"/>
      <c r="Q216" s="987"/>
      <c r="R216" s="987"/>
      <c r="S216" s="988"/>
      <c r="T216" s="1102" t="s">
        <v>1157</v>
      </c>
      <c r="U216" s="1103"/>
      <c r="V216" s="1103"/>
      <c r="W216" s="1103"/>
      <c r="X216" s="1103"/>
      <c r="Y216" s="1104"/>
      <c r="Z216" s="1062"/>
      <c r="AA216" s="1020"/>
      <c r="AB216" s="1020"/>
      <c r="AC216" s="1020"/>
      <c r="AD216" s="1020"/>
      <c r="AE216" s="1063"/>
      <c r="AF216" s="1075"/>
      <c r="AG216" s="938"/>
      <c r="AH216" s="1067"/>
      <c r="AI216" s="1067"/>
      <c r="AJ216" s="1068"/>
      <c r="AK216" s="1068"/>
      <c r="AL216" s="20"/>
    </row>
    <row r="217" spans="1:40" ht="30" customHeight="1" x14ac:dyDescent="0.3">
      <c r="A217" s="1105"/>
      <c r="B217" s="951" t="s">
        <v>150</v>
      </c>
      <c r="C217" s="952"/>
      <c r="D217" s="952"/>
      <c r="E217" s="952"/>
      <c r="F217" s="952"/>
      <c r="G217" s="953"/>
      <c r="H217" s="1041" t="s">
        <v>156</v>
      </c>
      <c r="I217" s="1042"/>
      <c r="J217" s="1042"/>
      <c r="K217" s="1042"/>
      <c r="L217" s="1042"/>
      <c r="M217" s="1043"/>
      <c r="N217" s="1072" t="s">
        <v>554</v>
      </c>
      <c r="O217" s="1073"/>
      <c r="P217" s="1073"/>
      <c r="Q217" s="1073"/>
      <c r="R217" s="1073"/>
      <c r="S217" s="1074"/>
      <c r="T217" s="1079" t="s">
        <v>156</v>
      </c>
      <c r="U217" s="1080"/>
      <c r="V217" s="1080"/>
      <c r="W217" s="1080"/>
      <c r="X217" s="1080"/>
      <c r="Y217" s="1081"/>
      <c r="Z217" s="964"/>
      <c r="AA217" s="965"/>
      <c r="AB217" s="965"/>
      <c r="AC217" s="965"/>
      <c r="AD217" s="965"/>
      <c r="AE217" s="1027"/>
      <c r="AI217" s="1121"/>
      <c r="AJ217" s="1121"/>
      <c r="AK217" s="1121"/>
      <c r="AL217" s="1121"/>
      <c r="AM217" s="1121"/>
      <c r="AN217" s="1121"/>
    </row>
    <row r="218" spans="1:40" ht="30" customHeight="1" x14ac:dyDescent="0.3">
      <c r="A218" s="1100" t="s">
        <v>185</v>
      </c>
      <c r="B218" s="1095" t="s">
        <v>1368</v>
      </c>
      <c r="C218" s="1096"/>
      <c r="D218" s="1096"/>
      <c r="E218" s="1096"/>
      <c r="F218" s="1096"/>
      <c r="G218" s="1097"/>
      <c r="H218" s="994" t="s">
        <v>1368</v>
      </c>
      <c r="I218" s="995"/>
      <c r="J218" s="995"/>
      <c r="K218" s="995"/>
      <c r="L218" s="995"/>
      <c r="M218" s="996"/>
      <c r="N218" s="1082" t="s">
        <v>1367</v>
      </c>
      <c r="O218" s="1082"/>
      <c r="P218" s="1082"/>
      <c r="Q218" s="1083"/>
      <c r="R218" s="1020"/>
      <c r="S218" s="1063"/>
      <c r="T218" s="1087" t="s">
        <v>1367</v>
      </c>
      <c r="U218" s="1025"/>
      <c r="V218" s="1088"/>
      <c r="W218" s="999"/>
      <c r="X218" s="999"/>
      <c r="Y218" s="1110"/>
      <c r="Z218" s="998"/>
      <c r="AA218" s="999"/>
      <c r="AB218" s="999"/>
      <c r="AC218" s="999"/>
      <c r="AD218" s="999"/>
      <c r="AE218" s="1000"/>
      <c r="AI218" s="990"/>
      <c r="AJ218" s="990"/>
      <c r="AK218" s="990"/>
      <c r="AL218" s="990"/>
      <c r="AM218" s="990"/>
      <c r="AN218" s="990"/>
    </row>
    <row r="219" spans="1:40" ht="30" customHeight="1" x14ac:dyDescent="0.3">
      <c r="A219" s="1105"/>
      <c r="B219" s="1118" t="s">
        <v>1257</v>
      </c>
      <c r="C219" s="1119"/>
      <c r="D219" s="1119"/>
      <c r="E219" s="1119"/>
      <c r="F219" s="1119"/>
      <c r="G219" s="1120"/>
      <c r="H219" s="951" t="s">
        <v>1257</v>
      </c>
      <c r="I219" s="952"/>
      <c r="J219" s="952"/>
      <c r="K219" s="952"/>
      <c r="L219" s="952"/>
      <c r="M219" s="953"/>
      <c r="N219" s="1084" t="s">
        <v>157</v>
      </c>
      <c r="O219" s="1084"/>
      <c r="P219" s="1085"/>
      <c r="Q219" s="965"/>
      <c r="R219" s="965"/>
      <c r="S219" s="1086"/>
      <c r="T219" s="1076" t="s">
        <v>1257</v>
      </c>
      <c r="U219" s="1077"/>
      <c r="V219" s="1078"/>
      <c r="W219" s="1026"/>
      <c r="X219" s="965"/>
      <c r="Y219" s="1027"/>
      <c r="Z219" s="1069"/>
      <c r="AA219" s="1070"/>
      <c r="AB219" s="1070"/>
      <c r="AC219" s="1070"/>
      <c r="AD219" s="1070"/>
      <c r="AE219" s="1071"/>
      <c r="AI219" s="1121"/>
      <c r="AJ219" s="1121"/>
      <c r="AK219" s="1121"/>
      <c r="AL219" s="1121"/>
      <c r="AM219" s="1121"/>
      <c r="AN219" s="1121"/>
    </row>
    <row r="220" spans="1:40" ht="30" customHeight="1" x14ac:dyDescent="0.3">
      <c r="A220" s="1100" t="s">
        <v>186</v>
      </c>
      <c r="B220" s="986" t="s">
        <v>1368</v>
      </c>
      <c r="C220" s="987"/>
      <c r="D220" s="987"/>
      <c r="E220" s="987"/>
      <c r="F220" s="987"/>
      <c r="G220" s="988"/>
      <c r="H220" s="994" t="s">
        <v>1368</v>
      </c>
      <c r="I220" s="995"/>
      <c r="J220" s="995"/>
      <c r="K220" s="995"/>
      <c r="L220" s="995"/>
      <c r="M220" s="996"/>
      <c r="N220" s="1093" t="s">
        <v>1367</v>
      </c>
      <c r="O220" s="1082"/>
      <c r="P220" s="1094"/>
      <c r="Q220" s="1020"/>
      <c r="R220" s="1020"/>
      <c r="S220" s="1063"/>
      <c r="T220" s="1017" t="s">
        <v>1367</v>
      </c>
      <c r="U220" s="1018"/>
      <c r="V220" s="1019"/>
      <c r="W220" s="1020"/>
      <c r="X220" s="1020"/>
      <c r="Y220" s="1021"/>
      <c r="Z220" s="1062"/>
      <c r="AA220" s="1020"/>
      <c r="AB220" s="1020"/>
      <c r="AC220" s="1020"/>
      <c r="AD220" s="1020"/>
      <c r="AE220" s="1063"/>
      <c r="AF220" s="991"/>
      <c r="AG220" s="992"/>
      <c r="AH220" s="992"/>
      <c r="AI220" s="990"/>
      <c r="AJ220" s="990"/>
      <c r="AK220" s="990"/>
      <c r="AL220" s="990"/>
      <c r="AM220" s="990"/>
      <c r="AN220" s="990"/>
    </row>
    <row r="221" spans="1:40" ht="30" customHeight="1" thickBot="1" x14ac:dyDescent="0.3">
      <c r="A221" s="1101"/>
      <c r="B221" s="1139" t="s">
        <v>1257</v>
      </c>
      <c r="C221" s="1140"/>
      <c r="D221" s="1140"/>
      <c r="E221" s="1140"/>
      <c r="F221" s="1140"/>
      <c r="G221" s="1141"/>
      <c r="H221" s="1115" t="s">
        <v>1257</v>
      </c>
      <c r="I221" s="1116"/>
      <c r="J221" s="1116"/>
      <c r="K221" s="1116"/>
      <c r="L221" s="1116"/>
      <c r="M221" s="1117"/>
      <c r="N221" s="1098" t="s">
        <v>157</v>
      </c>
      <c r="O221" s="1098"/>
      <c r="P221" s="1099"/>
      <c r="Q221" s="1492"/>
      <c r="R221" s="1492"/>
      <c r="S221" s="1518"/>
      <c r="T221" s="1076" t="s">
        <v>1257</v>
      </c>
      <c r="U221" s="1077"/>
      <c r="V221" s="1078"/>
      <c r="W221" s="1090"/>
      <c r="X221" s="1091"/>
      <c r="Y221" s="1092"/>
      <c r="Z221" s="1142"/>
      <c r="AA221" s="1143"/>
      <c r="AB221" s="1143"/>
      <c r="AC221" s="1143"/>
      <c r="AD221" s="1143"/>
      <c r="AE221" s="1144"/>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33" t="s">
        <v>214</v>
      </c>
      <c r="B223" s="935"/>
      <c r="C223" s="934" t="s">
        <v>215</v>
      </c>
      <c r="D223" s="934"/>
      <c r="E223" s="934"/>
      <c r="F223" s="934"/>
      <c r="G223" s="934"/>
      <c r="H223" s="934"/>
      <c r="I223" s="934"/>
      <c r="J223" s="934"/>
      <c r="K223" s="934"/>
      <c r="L223" s="58"/>
      <c r="M223" s="1034" t="s">
        <v>314</v>
      </c>
      <c r="N223" s="1035"/>
      <c r="O223" s="934" t="s">
        <v>139</v>
      </c>
      <c r="P223" s="935"/>
      <c r="Q223" s="934" t="s">
        <v>163</v>
      </c>
      <c r="R223" s="934"/>
      <c r="S223" s="934"/>
      <c r="T223" s="934"/>
      <c r="U223" s="934"/>
      <c r="V223" s="934"/>
      <c r="W223" s="934"/>
      <c r="X223" s="934"/>
      <c r="Y223" s="934"/>
      <c r="Z223" s="934"/>
      <c r="AA223" s="934"/>
      <c r="AB223" s="934"/>
      <c r="AC223" s="934"/>
      <c r="AD223" s="934"/>
      <c r="AE223" s="935"/>
    </row>
    <row r="224" spans="1:40" ht="14.25" customHeight="1" thickBot="1" x14ac:dyDescent="0.3">
      <c r="A224" s="1036" t="str">
        <f>VLOOKUP(M224,ASIGNATURAS!$F$1:$L$1022, 3, FALSE)</f>
        <v>OFICINA</v>
      </c>
      <c r="B224" s="1037"/>
      <c r="C224" s="1030" t="str">
        <f>VLOOKUP(M224,ASIGNATURAS!$F$1:$L$1022, 4, FALSE)</f>
        <v>Oficina Técnica</v>
      </c>
      <c r="D224" s="1031"/>
      <c r="E224" s="1031"/>
      <c r="F224" s="1031"/>
      <c r="G224" s="1031"/>
      <c r="H224" s="1031"/>
      <c r="I224" s="1031"/>
      <c r="J224" s="1031"/>
      <c r="K224" s="1031"/>
      <c r="L224" s="1032"/>
      <c r="M224" s="1028">
        <v>9145</v>
      </c>
      <c r="N224" s="1029"/>
      <c r="O224" s="1028">
        <f>VLOOKUP(M224,ASIGNATURAS!$F$1:$L$1022, 5, FALSE)</f>
        <v>6</v>
      </c>
      <c r="P224" s="1029"/>
      <c r="Q224" s="1056" t="str">
        <f>VLOOKUP(M224,ASIGNATURAS!$F$1:$L$1022, 6, FALSE)</f>
        <v>Raul Zamora</v>
      </c>
      <c r="R224" s="1057"/>
      <c r="S224" s="1057"/>
      <c r="T224" s="1057"/>
      <c r="U224" s="1057"/>
      <c r="V224" s="1057"/>
      <c r="W224" s="1057"/>
      <c r="X224" s="1057"/>
      <c r="Y224" s="1057"/>
      <c r="Z224" s="1057"/>
      <c r="AA224" s="1057"/>
      <c r="AB224" s="1057"/>
      <c r="AC224" s="1057"/>
      <c r="AD224" s="1057"/>
      <c r="AE224" s="1058"/>
    </row>
    <row r="225" spans="1:35" ht="14.25" customHeight="1" thickBot="1" x14ac:dyDescent="0.3">
      <c r="A225" s="1036" t="str">
        <f>VLOOKUP(M225,ASIGNATURAS!$F$1:$L$1022, 3, FALSE)</f>
        <v>PROYECTOS</v>
      </c>
      <c r="B225" s="1037"/>
      <c r="C225" s="1030" t="str">
        <f>VLOOKUP(M225,ASIGNATURAS!$F$1:$L$1022, 4, FALSE)</f>
        <v>Gestion de proyectos</v>
      </c>
      <c r="D225" s="1031"/>
      <c r="E225" s="1031"/>
      <c r="F225" s="1031"/>
      <c r="G225" s="1031"/>
      <c r="H225" s="1031"/>
      <c r="I225" s="1031"/>
      <c r="J225" s="1031"/>
      <c r="K225" s="1031"/>
      <c r="L225" s="1032"/>
      <c r="M225" s="1028">
        <v>9146</v>
      </c>
      <c r="N225" s="1029"/>
      <c r="O225" s="1028">
        <f>VLOOKUP(M225,ASIGNATURAS!$F$1:$L$1022, 5, FALSE)</f>
        <v>6</v>
      </c>
      <c r="P225" s="1029"/>
      <c r="Q225" s="1056" t="str">
        <f>VLOOKUP(M225,ASIGNATURAS!$F$1:$L$1022, 6, FALSE)</f>
        <v>Santiago  García</v>
      </c>
      <c r="R225" s="1057"/>
      <c r="S225" s="1057"/>
      <c r="T225" s="1057"/>
      <c r="U225" s="1057"/>
      <c r="V225" s="1057"/>
      <c r="W225" s="1057"/>
      <c r="X225" s="1057"/>
      <c r="Y225" s="1057"/>
      <c r="Z225" s="1057"/>
      <c r="AA225" s="1057"/>
      <c r="AB225" s="1057"/>
      <c r="AC225" s="1057"/>
      <c r="AD225" s="1057"/>
      <c r="AE225" s="1058"/>
    </row>
    <row r="226" spans="1:35" ht="14.25" customHeight="1" thickBot="1" x14ac:dyDescent="0.3">
      <c r="A226" s="1036" t="str">
        <f>VLOOKUP(M226,ASIGNATURAS!$F$1:$L$1022, 3, FALSE)</f>
        <v>SIST. INFORMACION</v>
      </c>
      <c r="B226" s="1037"/>
      <c r="C226" s="1030" t="str">
        <f>VLOOKUP(M226,ASIGNATURAS!$F$1:$L$1022, 4, FALSE)</f>
        <v xml:space="preserve">Sistemas de información gerencial </v>
      </c>
      <c r="D226" s="1031"/>
      <c r="E226" s="1031"/>
      <c r="F226" s="1031"/>
      <c r="G226" s="1031"/>
      <c r="H226" s="1031"/>
      <c r="I226" s="1031"/>
      <c r="J226" s="1031"/>
      <c r="K226" s="1031"/>
      <c r="L226" s="1032"/>
      <c r="M226" s="1028">
        <v>9147</v>
      </c>
      <c r="N226" s="1029"/>
      <c r="O226" s="1028">
        <f>VLOOKUP(M226,ASIGNATURAS!$F$1:$L$1022, 5, FALSE)</f>
        <v>6</v>
      </c>
      <c r="P226" s="1029"/>
      <c r="Q226" s="1056" t="str">
        <f>VLOOKUP(M226,ASIGNATURAS!$F$1:$L$1022, 6, FALSE)</f>
        <v>Esteban Marcos</v>
      </c>
      <c r="R226" s="1057"/>
      <c r="S226" s="1057"/>
      <c r="T226" s="1057"/>
      <c r="U226" s="1057"/>
      <c r="V226" s="1057"/>
      <c r="W226" s="1057"/>
      <c r="X226" s="1057"/>
      <c r="Y226" s="1057"/>
      <c r="Z226" s="1057"/>
      <c r="AA226" s="1057"/>
      <c r="AB226" s="1057"/>
      <c r="AC226" s="1057"/>
      <c r="AD226" s="1057"/>
      <c r="AE226" s="1058"/>
    </row>
    <row r="227" spans="1:35" ht="14.25" customHeight="1" thickBot="1" x14ac:dyDescent="0.3">
      <c r="A227" s="1036" t="str">
        <f>VLOOKUP(M227,ASIGNATURAS!$F$1:$L$1022, 3, FALSE)</f>
        <v>PREVENCION</v>
      </c>
      <c r="B227" s="1037"/>
      <c r="C227" s="1030" t="str">
        <f>VLOOKUP(M227,ASIGNATURAS!$F$1:$L$1022, 4, FALSE)</f>
        <v>Prevención de Riesgos Laborales E/I</v>
      </c>
      <c r="D227" s="1031"/>
      <c r="E227" s="1031"/>
      <c r="F227" s="1031"/>
      <c r="G227" s="1031"/>
      <c r="H227" s="1031"/>
      <c r="I227" s="1031"/>
      <c r="J227" s="1031"/>
      <c r="K227" s="1031"/>
      <c r="L227" s="1032"/>
      <c r="M227" s="1028">
        <v>9148</v>
      </c>
      <c r="N227" s="1029"/>
      <c r="O227" s="1028">
        <f>VLOOKUP(M227,ASIGNATURAS!$F$1:$L$1022, 5, FALSE)</f>
        <v>6</v>
      </c>
      <c r="P227" s="1029"/>
      <c r="Q227" s="1056" t="str">
        <f>VLOOKUP(M227,ASIGNATURAS!$F$1:$L$1022, 6, FALSE)</f>
        <v>Roberto Arce, Rosa Sánchez</v>
      </c>
      <c r="R227" s="1057"/>
      <c r="S227" s="1057"/>
      <c r="T227" s="1057"/>
      <c r="U227" s="1057"/>
      <c r="V227" s="1057"/>
      <c r="W227" s="1057"/>
      <c r="X227" s="1057"/>
      <c r="Y227" s="1057"/>
      <c r="Z227" s="1057"/>
      <c r="AA227" s="1057"/>
      <c r="AB227" s="1057"/>
      <c r="AC227" s="1057"/>
      <c r="AD227" s="1057"/>
      <c r="AE227" s="1058"/>
    </row>
    <row r="228" spans="1:35" ht="14.25" customHeight="1" x14ac:dyDescent="0.25">
      <c r="A228" s="1036" t="str">
        <f>VLOOKUP(M228,ASIGNATURAS!$F$1:$L$1022, 3, FALSE)</f>
        <v>LOGISTICA</v>
      </c>
      <c r="B228" s="1037"/>
      <c r="C228" s="1030" t="str">
        <f>VLOOKUP(M228,ASIGNATURAS!$F$1:$L$1022, 4, FALSE)</f>
        <v>Logística</v>
      </c>
      <c r="D228" s="1031"/>
      <c r="E228" s="1031"/>
      <c r="F228" s="1031"/>
      <c r="G228" s="1031"/>
      <c r="H228" s="1031"/>
      <c r="I228" s="1031"/>
      <c r="J228" s="1031"/>
      <c r="K228" s="1031"/>
      <c r="L228" s="1032"/>
      <c r="M228" s="1028">
        <v>9149</v>
      </c>
      <c r="N228" s="1029"/>
      <c r="O228" s="1028">
        <f>VLOOKUP(M228,ASIGNATURAS!$F$1:$L$1022, 5, FALSE)</f>
        <v>6</v>
      </c>
      <c r="P228" s="1029"/>
      <c r="Q228" s="1056" t="str">
        <f>VLOOKUP(M228,ASIGNATURAS!$F$1:$L$1022, 6, FALSE)</f>
        <v>Carlos Alonso de Armiño Pérez</v>
      </c>
      <c r="R228" s="1057"/>
      <c r="S228" s="1057"/>
      <c r="T228" s="1057"/>
      <c r="U228" s="1057"/>
      <c r="V228" s="1057"/>
      <c r="W228" s="1057"/>
      <c r="X228" s="1057"/>
      <c r="Y228" s="1057"/>
      <c r="Z228" s="1057"/>
      <c r="AA228" s="1057"/>
      <c r="AB228" s="1057"/>
      <c r="AC228" s="1057"/>
      <c r="AD228" s="1057"/>
      <c r="AE228" s="1058"/>
    </row>
    <row r="229" spans="1:35" ht="14.25" customHeight="1" x14ac:dyDescent="0.25"/>
    <row r="230" spans="1:35" ht="15" x14ac:dyDescent="0.25">
      <c r="A230" s="1145" t="s">
        <v>1011</v>
      </c>
      <c r="B230" s="1145"/>
      <c r="C230" s="1145"/>
      <c r="D230" s="1145"/>
      <c r="E230" s="1145"/>
    </row>
    <row r="231" spans="1:35" ht="15" x14ac:dyDescent="0.25">
      <c r="A231" s="1148" t="s">
        <v>1009</v>
      </c>
      <c r="B231" s="1148"/>
      <c r="C231" s="1148"/>
      <c r="D231" s="1148"/>
      <c r="E231" s="1148"/>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1135" t="str">
        <f>VLOOKUP(A237,ASIGNATURAS!$A$2:$D$151, 3, FALSE)</f>
        <v>4º Grado en Ingeniería de Organización Industrial</v>
      </c>
      <c r="B234" s="1136"/>
      <c r="C234" s="1136"/>
      <c r="D234" s="1136"/>
      <c r="E234" s="1136"/>
      <c r="F234" s="1136"/>
      <c r="G234" s="1136"/>
      <c r="H234" s="1136"/>
      <c r="I234" s="1136"/>
      <c r="J234" s="1136"/>
      <c r="K234" s="1136"/>
      <c r="L234" s="1136"/>
      <c r="M234" s="1136"/>
      <c r="N234" s="1136"/>
      <c r="O234" s="1136"/>
      <c r="P234" s="1136"/>
      <c r="Q234" s="1136"/>
      <c r="R234" s="1136"/>
      <c r="S234" s="1136"/>
      <c r="T234" s="1136"/>
      <c r="U234" s="1136"/>
      <c r="V234" s="1136"/>
      <c r="W234" s="1136"/>
      <c r="X234" s="1136"/>
      <c r="Y234" s="1137"/>
      <c r="Z234" s="1064" t="str">
        <f>Z1</f>
        <v>Curso 2024-2025</v>
      </c>
      <c r="AA234" s="1065"/>
      <c r="AB234" s="1065"/>
      <c r="AC234" s="1065"/>
      <c r="AD234" s="1065"/>
      <c r="AE234" s="1066"/>
    </row>
    <row r="235" spans="1:35" ht="24" customHeight="1" thickBot="1" x14ac:dyDescent="0.3">
      <c r="A235" s="1132" t="str">
        <f>VLOOKUP(A237,ASIGNATURAS!$A$2:$D$151, 2, FALSE)</f>
        <v>Semestre temporal: 2º        (8º Semestre Académico)</v>
      </c>
      <c r="B235" s="1132"/>
      <c r="C235" s="1133"/>
      <c r="D235" s="1133"/>
      <c r="E235" s="1133"/>
      <c r="F235" s="1133"/>
      <c r="G235" s="1133"/>
      <c r="H235" s="1133"/>
      <c r="I235" s="1133"/>
      <c r="J235" s="1133"/>
      <c r="K235" s="1133"/>
      <c r="L235" s="1133"/>
      <c r="M235" s="1133"/>
      <c r="N235" s="1133"/>
      <c r="O235" s="1133"/>
      <c r="P235" s="1133"/>
      <c r="Q235" s="1133"/>
      <c r="R235" s="1133"/>
      <c r="S235" s="1133"/>
      <c r="T235" s="1133"/>
      <c r="U235" s="1133"/>
      <c r="V235" s="1133"/>
      <c r="W235" s="1133"/>
      <c r="X235" s="1133"/>
      <c r="Y235" s="1134"/>
      <c r="Z235" s="1013" t="s">
        <v>150</v>
      </c>
      <c r="AA235" s="1013"/>
      <c r="AB235" s="1013"/>
      <c r="AC235" s="1013"/>
      <c r="AD235" s="1013"/>
      <c r="AE235" s="1014"/>
    </row>
    <row r="236" spans="1:35" ht="23.4" thickBot="1" x14ac:dyDescent="0.45">
      <c r="A236" s="1132" t="s">
        <v>177</v>
      </c>
      <c r="B236" s="1132"/>
      <c r="C236" s="1133"/>
      <c r="D236" s="1133"/>
      <c r="E236" s="1133"/>
      <c r="F236" s="1133"/>
      <c r="G236" s="1133"/>
      <c r="H236" s="1133"/>
      <c r="I236" s="1133"/>
      <c r="J236" s="1133"/>
      <c r="K236" s="1133"/>
      <c r="L236" s="1133"/>
      <c r="M236" s="1133"/>
      <c r="N236" s="1133"/>
      <c r="O236" s="1133"/>
      <c r="P236" s="1133"/>
      <c r="Q236" s="1133"/>
      <c r="R236" s="1133"/>
      <c r="S236" s="1133"/>
      <c r="T236" s="1133"/>
      <c r="U236" s="1133"/>
      <c r="V236" s="1133"/>
      <c r="W236" s="1133"/>
      <c r="X236" s="1133"/>
      <c r="Y236" s="1134"/>
      <c r="Z236" s="1015"/>
      <c r="AA236" s="1015"/>
      <c r="AB236" s="1015"/>
      <c r="AC236" s="1015"/>
      <c r="AD236" s="1015"/>
      <c r="AE236" s="1016"/>
      <c r="AG236" s="1"/>
      <c r="AI236" s="1"/>
    </row>
    <row r="237" spans="1:35" ht="18" thickBot="1" x14ac:dyDescent="0.3">
      <c r="A237" s="90" t="s">
        <v>65</v>
      </c>
      <c r="B237" s="33"/>
      <c r="AE237" s="32"/>
    </row>
    <row r="238" spans="1:35" s="1" customFormat="1" ht="31.5" customHeight="1" thickBot="1" x14ac:dyDescent="0.45">
      <c r="A238" s="19" t="s">
        <v>1</v>
      </c>
      <c r="B238" s="975" t="s">
        <v>2</v>
      </c>
      <c r="C238" s="976"/>
      <c r="D238" s="976"/>
      <c r="E238" s="976"/>
      <c r="F238" s="976"/>
      <c r="G238" s="977"/>
      <c r="H238" s="975" t="s">
        <v>3</v>
      </c>
      <c r="I238" s="976"/>
      <c r="J238" s="976"/>
      <c r="K238" s="976"/>
      <c r="L238" s="976"/>
      <c r="M238" s="977"/>
      <c r="N238" s="1064" t="s">
        <v>135</v>
      </c>
      <c r="O238" s="1065"/>
      <c r="P238" s="1065"/>
      <c r="Q238" s="1065"/>
      <c r="R238" s="1065"/>
      <c r="S238" s="1066"/>
      <c r="T238" s="975" t="s">
        <v>4</v>
      </c>
      <c r="U238" s="976"/>
      <c r="V238" s="976"/>
      <c r="W238" s="976"/>
      <c r="X238" s="976"/>
      <c r="Y238" s="977"/>
      <c r="Z238" s="1064" t="s">
        <v>5</v>
      </c>
      <c r="AA238" s="1065"/>
      <c r="AB238" s="1065"/>
      <c r="AC238" s="1065"/>
      <c r="AD238" s="1065"/>
      <c r="AE238" s="1066"/>
      <c r="AG238"/>
      <c r="AH238"/>
      <c r="AI238"/>
    </row>
    <row r="239" spans="1:35" s="8" customFormat="1" ht="33" customHeight="1" x14ac:dyDescent="0.4">
      <c r="A239" s="1128" t="s">
        <v>1091</v>
      </c>
      <c r="B239" s="1087" t="s">
        <v>1369</v>
      </c>
      <c r="C239" s="1025"/>
      <c r="D239" s="1088"/>
      <c r="E239" s="1096" t="s">
        <v>1369</v>
      </c>
      <c r="F239" s="1096"/>
      <c r="G239" s="1096"/>
      <c r="H239" s="1044" t="s">
        <v>1370</v>
      </c>
      <c r="I239" s="1045"/>
      <c r="J239" s="1046"/>
      <c r="K239" s="999"/>
      <c r="L239" s="999"/>
      <c r="M239" s="1110"/>
      <c r="N239" s="1002" t="s">
        <v>1369</v>
      </c>
      <c r="O239" s="1003"/>
      <c r="P239" s="1114"/>
      <c r="Q239" s="1520" t="s">
        <v>1185</v>
      </c>
      <c r="R239" s="1521"/>
      <c r="S239" s="1522"/>
      <c r="T239" s="998"/>
      <c r="U239" s="999"/>
      <c r="V239" s="999"/>
      <c r="W239" s="999"/>
      <c r="X239" s="999"/>
      <c r="Y239" s="1000"/>
      <c r="Z239" s="1125"/>
      <c r="AA239" s="1126"/>
      <c r="AB239" s="1126"/>
      <c r="AC239" s="1126"/>
      <c r="AD239" s="1126"/>
      <c r="AE239" s="1127"/>
      <c r="AG239"/>
      <c r="AH239"/>
      <c r="AI239"/>
    </row>
    <row r="240" spans="1:35" s="8" customFormat="1" ht="23.25" customHeight="1" x14ac:dyDescent="0.4">
      <c r="A240" s="1105"/>
      <c r="B240" s="1076" t="s">
        <v>155</v>
      </c>
      <c r="C240" s="1077"/>
      <c r="D240" s="1078"/>
      <c r="E240" s="1109" t="s">
        <v>150</v>
      </c>
      <c r="F240" s="1073"/>
      <c r="G240" s="1074"/>
      <c r="H240" s="951" t="s">
        <v>150</v>
      </c>
      <c r="I240" s="952"/>
      <c r="J240" s="1047"/>
      <c r="K240" s="1026"/>
      <c r="L240" s="965"/>
      <c r="M240" s="1027"/>
      <c r="N240" s="951" t="s">
        <v>150</v>
      </c>
      <c r="O240" s="952"/>
      <c r="P240" s="1047"/>
      <c r="Q240" s="1084" t="s">
        <v>554</v>
      </c>
      <c r="R240" s="1084"/>
      <c r="S240" s="1138"/>
      <c r="T240" s="964"/>
      <c r="U240" s="965"/>
      <c r="V240" s="965"/>
      <c r="W240" s="965"/>
      <c r="X240" s="965"/>
      <c r="Y240" s="1027"/>
      <c r="Z240" s="1129"/>
      <c r="AA240" s="1130"/>
      <c r="AB240" s="1130"/>
      <c r="AC240" s="1130"/>
      <c r="AD240" s="1130"/>
      <c r="AE240" s="1131"/>
      <c r="AG240"/>
      <c r="AH240"/>
      <c r="AI240"/>
    </row>
    <row r="241" spans="1:40" ht="33" customHeight="1" x14ac:dyDescent="0.3">
      <c r="A241" s="1100" t="s">
        <v>183</v>
      </c>
      <c r="B241" s="1017" t="s">
        <v>1369</v>
      </c>
      <c r="C241" s="1018"/>
      <c r="D241" s="1018"/>
      <c r="E241" s="1147" t="s">
        <v>1369</v>
      </c>
      <c r="F241" s="987"/>
      <c r="G241" s="988"/>
      <c r="H241" s="1111" t="s">
        <v>1370</v>
      </c>
      <c r="I241" s="1112"/>
      <c r="J241" s="1113"/>
      <c r="K241" s="1083"/>
      <c r="L241" s="1020"/>
      <c r="M241" s="1063"/>
      <c r="N241" s="963" t="s">
        <v>1369</v>
      </c>
      <c r="O241" s="957"/>
      <c r="P241" s="1146"/>
      <c r="Q241" s="1082" t="s">
        <v>1185</v>
      </c>
      <c r="R241" s="1082"/>
      <c r="S241" s="1082"/>
      <c r="T241" s="1062"/>
      <c r="U241" s="1020"/>
      <c r="V241" s="1020"/>
      <c r="W241" s="1020"/>
      <c r="X241" s="1020"/>
      <c r="Y241" s="1063"/>
      <c r="Z241" s="1062"/>
      <c r="AA241" s="1020"/>
      <c r="AB241" s="1020"/>
      <c r="AC241" s="1020"/>
      <c r="AD241" s="1020"/>
      <c r="AE241" s="1063"/>
    </row>
    <row r="242" spans="1:40" s="2" customFormat="1" ht="24" customHeight="1" x14ac:dyDescent="0.25">
      <c r="A242" s="1105"/>
      <c r="B242" s="1076" t="s">
        <v>155</v>
      </c>
      <c r="C242" s="1077"/>
      <c r="D242" s="1078"/>
      <c r="E242" s="1109" t="s">
        <v>150</v>
      </c>
      <c r="F242" s="1073"/>
      <c r="G242" s="1074"/>
      <c r="H242" s="951" t="s">
        <v>150</v>
      </c>
      <c r="I242" s="952"/>
      <c r="J242" s="1047"/>
      <c r="K242" s="1026"/>
      <c r="L242" s="965"/>
      <c r="M242" s="1027"/>
      <c r="N242" s="951" t="s">
        <v>150</v>
      </c>
      <c r="O242" s="952"/>
      <c r="P242" s="1047"/>
      <c r="Q242" s="1084" t="s">
        <v>554</v>
      </c>
      <c r="R242" s="1084"/>
      <c r="S242" s="1138"/>
      <c r="T242" s="964"/>
      <c r="U242" s="965"/>
      <c r="V242" s="965"/>
      <c r="W242" s="965"/>
      <c r="X242" s="965"/>
      <c r="Y242" s="1027"/>
      <c r="Z242" s="1129"/>
      <c r="AA242" s="1130"/>
      <c r="AB242" s="1130"/>
      <c r="AC242" s="1130"/>
      <c r="AD242" s="1130"/>
      <c r="AE242" s="1131"/>
      <c r="AG242"/>
      <c r="AH242"/>
      <c r="AI242"/>
    </row>
    <row r="243" spans="1:40" ht="30" customHeight="1" x14ac:dyDescent="0.3">
      <c r="A243" s="1321" t="s">
        <v>182</v>
      </c>
      <c r="D243" s="195"/>
      <c r="E243" s="1018" t="s">
        <v>1185</v>
      </c>
      <c r="F243" s="1018"/>
      <c r="G243" s="1018"/>
      <c r="H243" s="1062"/>
      <c r="I243" s="1020"/>
      <c r="J243" s="1020"/>
      <c r="K243" s="781"/>
      <c r="L243" s="423"/>
      <c r="M243" s="391"/>
      <c r="N243" s="1093" t="s">
        <v>1369</v>
      </c>
      <c r="O243" s="1082"/>
      <c r="P243" s="1082"/>
      <c r="Q243" s="1147" t="s">
        <v>1370</v>
      </c>
      <c r="R243" s="987"/>
      <c r="S243" s="988"/>
      <c r="T243" s="1062"/>
      <c r="U243" s="1020"/>
      <c r="V243" s="1020"/>
      <c r="W243" s="1020"/>
      <c r="X243" s="1020"/>
      <c r="Y243" s="1063"/>
      <c r="Z243" s="1062"/>
      <c r="AA243" s="1020"/>
      <c r="AB243" s="1020"/>
      <c r="AC243" s="1020"/>
      <c r="AD243" s="1020"/>
      <c r="AE243" s="1063"/>
    </row>
    <row r="244" spans="1:40" ht="30" customHeight="1" x14ac:dyDescent="0.25">
      <c r="A244" s="1321"/>
      <c r="E244" s="1278" t="s">
        <v>554</v>
      </c>
      <c r="F244" s="1077"/>
      <c r="G244" s="1216"/>
      <c r="H244" s="964"/>
      <c r="I244" s="965"/>
      <c r="J244" s="1086"/>
      <c r="K244" s="757"/>
      <c r="L244" s="375"/>
      <c r="M244" s="376"/>
      <c r="N244" s="1504" t="s">
        <v>155</v>
      </c>
      <c r="O244" s="1505"/>
      <c r="P244" s="1506"/>
      <c r="Q244" s="1507" t="s">
        <v>150</v>
      </c>
      <c r="R244" s="1507"/>
      <c r="S244" s="1508"/>
      <c r="T244" s="964"/>
      <c r="U244" s="965"/>
      <c r="V244" s="965"/>
      <c r="W244" s="965"/>
      <c r="X244" s="965"/>
      <c r="Y244" s="1027"/>
      <c r="Z244" s="1069"/>
      <c r="AA244" s="1070"/>
      <c r="AB244" s="1070"/>
      <c r="AC244" s="1070"/>
      <c r="AD244" s="1070"/>
      <c r="AE244" s="1071"/>
      <c r="AL244" s="20"/>
    </row>
    <row r="245" spans="1:40" ht="30" customHeight="1" x14ac:dyDescent="0.3">
      <c r="A245" s="1105" t="s">
        <v>184</v>
      </c>
      <c r="D245" s="240"/>
      <c r="E245" s="1018" t="s">
        <v>1185</v>
      </c>
      <c r="F245" s="1018"/>
      <c r="G245" s="1018"/>
      <c r="H245" s="1062"/>
      <c r="I245" s="1020"/>
      <c r="J245" s="1021"/>
      <c r="K245" s="423"/>
      <c r="L245" s="423"/>
      <c r="M245" s="391"/>
      <c r="N245" s="1515" t="s">
        <v>1369</v>
      </c>
      <c r="O245" s="1516"/>
      <c r="P245" s="1517"/>
      <c r="Q245" s="1509" t="s">
        <v>1370</v>
      </c>
      <c r="R245" s="1509"/>
      <c r="S245" s="1509"/>
      <c r="T245" s="1062"/>
      <c r="U245" s="1020"/>
      <c r="V245" s="1020"/>
      <c r="W245" s="1020"/>
      <c r="X245" s="1020"/>
      <c r="Y245" s="1063"/>
      <c r="Z245" s="998"/>
      <c r="AA245" s="999"/>
      <c r="AB245" s="999"/>
      <c r="AC245" s="999"/>
      <c r="AD245" s="999"/>
      <c r="AE245" s="1000"/>
      <c r="AG245" s="10"/>
      <c r="AH245" s="10"/>
      <c r="AI245" s="10"/>
      <c r="AJ245" s="10"/>
      <c r="AK245" s="10"/>
      <c r="AL245" s="10"/>
      <c r="AM245" s="10"/>
      <c r="AN245" s="10"/>
    </row>
    <row r="246" spans="1:40" ht="30" customHeight="1" x14ac:dyDescent="0.25">
      <c r="A246" s="1321"/>
      <c r="E246" s="1278" t="s">
        <v>554</v>
      </c>
      <c r="F246" s="1077"/>
      <c r="G246" s="1216"/>
      <c r="H246" s="964"/>
      <c r="I246" s="965"/>
      <c r="J246" s="1086"/>
      <c r="K246" s="375"/>
      <c r="L246" s="375"/>
      <c r="M246" s="376"/>
      <c r="N246" s="1504" t="s">
        <v>155</v>
      </c>
      <c r="O246" s="1505"/>
      <c r="P246" s="1506"/>
      <c r="Q246" s="1507" t="s">
        <v>150</v>
      </c>
      <c r="R246" s="1507"/>
      <c r="S246" s="1508"/>
      <c r="T246" s="964"/>
      <c r="U246" s="965"/>
      <c r="V246" s="965"/>
      <c r="W246" s="965"/>
      <c r="X246" s="965"/>
      <c r="Y246" s="1027"/>
      <c r="Z246" s="1129"/>
      <c r="AA246" s="1130"/>
      <c r="AB246" s="1130"/>
      <c r="AC246" s="1130"/>
      <c r="AD246" s="1130"/>
      <c r="AE246" s="1131"/>
      <c r="AG246" s="10"/>
      <c r="AH246" s="10"/>
      <c r="AI246" s="10"/>
      <c r="AJ246" s="10"/>
      <c r="AK246" s="10"/>
      <c r="AL246" s="10"/>
      <c r="AM246" s="10"/>
      <c r="AN246" s="10"/>
    </row>
    <row r="247" spans="1:40" ht="30" customHeight="1" x14ac:dyDescent="0.3">
      <c r="A247" s="1105" t="s">
        <v>185</v>
      </c>
      <c r="B247" s="1062"/>
      <c r="C247" s="1020"/>
      <c r="D247" s="1020"/>
      <c r="E247" s="1020"/>
      <c r="F247" s="1020"/>
      <c r="G247" s="1063"/>
      <c r="H247" s="10"/>
      <c r="I247" s="10"/>
      <c r="J247" s="758"/>
      <c r="K247" s="1020"/>
      <c r="L247" s="1020"/>
      <c r="M247" s="1021"/>
      <c r="N247" s="474"/>
      <c r="O247" s="423"/>
      <c r="P247" s="423"/>
      <c r="Q247" s="423"/>
      <c r="R247" s="423"/>
      <c r="S247" s="391"/>
      <c r="T247" s="1062"/>
      <c r="U247" s="1020"/>
      <c r="V247" s="1020"/>
      <c r="W247" s="1020"/>
      <c r="X247" s="1020"/>
      <c r="Y247" s="1063"/>
      <c r="Z247" s="1062"/>
      <c r="AA247" s="1020"/>
      <c r="AB247" s="1020"/>
      <c r="AC247" s="1020"/>
      <c r="AD247" s="1020"/>
      <c r="AE247" s="1063"/>
      <c r="AG247" s="10"/>
      <c r="AH247" s="10"/>
      <c r="AI247" s="10"/>
      <c r="AJ247" s="10"/>
      <c r="AK247" s="10"/>
      <c r="AL247" s="10"/>
      <c r="AM247" s="10"/>
      <c r="AN247" s="10"/>
    </row>
    <row r="248" spans="1:40" ht="30" customHeight="1" x14ac:dyDescent="0.25">
      <c r="A248" s="1321"/>
      <c r="B248" s="964"/>
      <c r="C248" s="965"/>
      <c r="D248" s="965"/>
      <c r="E248" s="965"/>
      <c r="F248" s="965"/>
      <c r="G248" s="1027"/>
      <c r="H248" s="10"/>
      <c r="I248" s="283"/>
      <c r="J248" s="10"/>
      <c r="K248" s="1026"/>
      <c r="L248" s="965"/>
      <c r="M248" s="1027"/>
      <c r="N248" s="964"/>
      <c r="O248" s="965"/>
      <c r="P248" s="965"/>
      <c r="Q248" s="965"/>
      <c r="R248" s="965"/>
      <c r="S248" s="1027"/>
      <c r="T248" s="964"/>
      <c r="U248" s="965"/>
      <c r="V248" s="965"/>
      <c r="W248" s="965"/>
      <c r="X248" s="965"/>
      <c r="Y248" s="1027"/>
      <c r="Z248" s="1129"/>
      <c r="AA248" s="1130"/>
      <c r="AB248" s="1130"/>
      <c r="AC248" s="1130"/>
      <c r="AD248" s="1130"/>
      <c r="AE248" s="1131"/>
      <c r="AG248" s="295"/>
      <c r="AH248" s="295"/>
      <c r="AI248" s="295"/>
      <c r="AJ248" s="295"/>
      <c r="AK248" s="10"/>
      <c r="AL248" s="10"/>
      <c r="AM248" s="10"/>
      <c r="AN248" s="10"/>
    </row>
    <row r="249" spans="1:40" ht="30" customHeight="1" x14ac:dyDescent="0.3">
      <c r="A249" s="1486" t="s">
        <v>186</v>
      </c>
      <c r="B249" s="1062"/>
      <c r="C249" s="1020"/>
      <c r="D249" s="1020"/>
      <c r="E249" s="1020"/>
      <c r="F249" s="1020"/>
      <c r="G249" s="1063"/>
      <c r="H249" s="368"/>
      <c r="I249" s="10"/>
      <c r="J249" s="282"/>
      <c r="K249" s="1083"/>
      <c r="L249" s="1020"/>
      <c r="M249" s="1063"/>
      <c r="N249" s="1062"/>
      <c r="O249" s="1020"/>
      <c r="P249" s="1020"/>
      <c r="Q249" s="1020"/>
      <c r="R249" s="1020"/>
      <c r="S249" s="1063"/>
      <c r="T249" s="1062"/>
      <c r="U249" s="1020"/>
      <c r="V249" s="1020"/>
      <c r="W249" s="1020"/>
      <c r="X249" s="1020"/>
      <c r="Y249" s="1063"/>
      <c r="Z249" s="1062"/>
      <c r="AA249" s="1020"/>
      <c r="AB249" s="1020"/>
      <c r="AC249" s="1020"/>
      <c r="AD249" s="1020"/>
      <c r="AE249" s="1063"/>
      <c r="AG249" s="10"/>
      <c r="AH249" s="10"/>
      <c r="AI249" s="10"/>
      <c r="AJ249" s="10"/>
      <c r="AK249" s="10"/>
      <c r="AL249" s="10"/>
      <c r="AM249" s="10"/>
      <c r="AN249" s="10"/>
    </row>
    <row r="250" spans="1:40" ht="30" customHeight="1" thickBot="1" x14ac:dyDescent="0.3">
      <c r="A250" s="1483"/>
      <c r="B250" s="1514"/>
      <c r="C250" s="1492"/>
      <c r="D250" s="1492"/>
      <c r="E250" s="1492"/>
      <c r="F250" s="1492"/>
      <c r="G250" s="1493"/>
      <c r="H250" s="784"/>
      <c r="I250" s="782"/>
      <c r="J250" s="783"/>
      <c r="K250" s="1491"/>
      <c r="L250" s="1492"/>
      <c r="M250" s="1493"/>
      <c r="N250" s="1514"/>
      <c r="O250" s="1492"/>
      <c r="P250" s="1492"/>
      <c r="Q250" s="1492"/>
      <c r="R250" s="1492"/>
      <c r="S250" s="1493"/>
      <c r="T250" s="1514"/>
      <c r="U250" s="1492"/>
      <c r="V250" s="1492"/>
      <c r="W250" s="1492"/>
      <c r="X250" s="1492"/>
      <c r="Y250" s="1493"/>
      <c r="Z250" s="1142"/>
      <c r="AA250" s="1143"/>
      <c r="AB250" s="1143"/>
      <c r="AC250" s="1143"/>
      <c r="AD250" s="1143"/>
      <c r="AE250" s="1144"/>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33" t="s">
        <v>214</v>
      </c>
      <c r="B252" s="935"/>
      <c r="C252" s="934" t="s">
        <v>215</v>
      </c>
      <c r="D252" s="934"/>
      <c r="E252" s="934"/>
      <c r="F252" s="934"/>
      <c r="G252" s="934"/>
      <c r="H252" s="934"/>
      <c r="I252" s="934"/>
      <c r="J252" s="934"/>
      <c r="K252" s="934"/>
      <c r="L252" s="58"/>
      <c r="M252" s="1034" t="s">
        <v>315</v>
      </c>
      <c r="N252" s="1035"/>
      <c r="O252" s="934" t="s">
        <v>139</v>
      </c>
      <c r="P252" s="935"/>
      <c r="Q252" s="934" t="s">
        <v>163</v>
      </c>
      <c r="R252" s="934"/>
      <c r="S252" s="934"/>
      <c r="T252" s="934"/>
      <c r="U252" s="934"/>
      <c r="V252" s="934"/>
      <c r="W252" s="934"/>
      <c r="X252" s="934"/>
      <c r="Y252" s="934"/>
      <c r="Z252" s="934"/>
      <c r="AA252" s="934"/>
      <c r="AB252" s="934"/>
      <c r="AC252" s="934"/>
      <c r="AD252" s="934"/>
      <c r="AE252" s="935"/>
      <c r="AG252" s="10"/>
      <c r="AH252" s="10"/>
      <c r="AI252" s="10"/>
      <c r="AJ252" s="10"/>
      <c r="AK252" s="10"/>
      <c r="AL252" s="10"/>
      <c r="AM252" s="10"/>
      <c r="AN252" s="10"/>
    </row>
    <row r="253" spans="1:40" ht="15.75" customHeight="1" thickBot="1" x14ac:dyDescent="0.3">
      <c r="A253" s="1496" t="str">
        <f>VLOOKUP(M253,ASIGNATURAS!$F$1:$L$1022, 3, FALSE)</f>
        <v>TECN. ELECTRI</v>
      </c>
      <c r="B253" s="1497"/>
      <c r="C253" s="1498" t="str">
        <f>VLOOKUP(M253,ASIGNATURAS!$F$1:$L$1022, 4, FALSE)</f>
        <v>Tecnología eléctrica (Español/Inglés)</v>
      </c>
      <c r="D253" s="1499"/>
      <c r="E253" s="1499"/>
      <c r="F253" s="1499"/>
      <c r="G253" s="1499"/>
      <c r="H253" s="1499"/>
      <c r="I253" s="1499"/>
      <c r="J253" s="1499"/>
      <c r="K253" s="1499"/>
      <c r="L253" s="1500"/>
      <c r="M253" s="1494">
        <v>9151</v>
      </c>
      <c r="N253" s="1495"/>
      <c r="O253" s="1494" t="str">
        <f>VLOOKUP(M253,ASIGNATURAS!$F$1:$L$1022, 5, FALSE)</f>
        <v>6 (OP)</v>
      </c>
      <c r="P253" s="1495"/>
      <c r="Q253" s="1498" t="str">
        <f>VLOOKUP(M253,ASIGNATURAS!$F$1:$L$1022, 6, FALSE)</f>
        <v>Ricardo Martínez, Javier González</v>
      </c>
      <c r="R253" s="1499"/>
      <c r="S253" s="1499"/>
      <c r="T253" s="1499"/>
      <c r="U253" s="1499"/>
      <c r="V253" s="1499"/>
      <c r="W253" s="1499"/>
      <c r="X253" s="1499"/>
      <c r="Y253" s="1499"/>
      <c r="Z253" s="1499"/>
      <c r="AA253" s="1499"/>
      <c r="AB253" s="1499"/>
      <c r="AC253" s="1499"/>
      <c r="AD253" s="1499"/>
      <c r="AE253" s="1500"/>
    </row>
    <row r="254" spans="1:40" ht="14.25" customHeight="1" thickBot="1" x14ac:dyDescent="0.3">
      <c r="A254" s="1036" t="str">
        <f>VLOOKUP(M254,ASIGNATURAS!$F$1:$L$1022, 3, FALSE)</f>
        <v>ENERGIA Y ECONOMIA</v>
      </c>
      <c r="B254" s="1037"/>
      <c r="C254" s="1030" t="str">
        <f>VLOOKUP(M254,ASIGNATURAS!$F$1:$L$1022, 4, FALSE)</f>
        <v>Energía y economía circular (Español)</v>
      </c>
      <c r="D254" s="1031"/>
      <c r="E254" s="1031"/>
      <c r="F254" s="1031"/>
      <c r="G254" s="1031"/>
      <c r="H254" s="1031"/>
      <c r="I254" s="1031"/>
      <c r="J254" s="1031"/>
      <c r="K254" s="1031"/>
      <c r="L254" s="1032"/>
      <c r="M254" s="1494">
        <v>9152</v>
      </c>
      <c r="N254" s="1495"/>
      <c r="O254" s="1028" t="str">
        <f>VLOOKUP(M254,ASIGNATURAS!$F$1:$L$1022, 5, FALSE)</f>
        <v>6 (OP)</v>
      </c>
      <c r="P254" s="1029"/>
      <c r="Q254" s="1056" t="str">
        <f>VLOOKUP(M254,ASIGNATURAS!$F$1:$L$1022, 6, FALSE)</f>
        <v>Cristina Alonso, Rocio Barros, Sonia Martel</v>
      </c>
      <c r="R254" s="1057"/>
      <c r="S254" s="1057"/>
      <c r="T254" s="1057"/>
      <c r="U254" s="1057"/>
      <c r="V254" s="1057"/>
      <c r="W254" s="1057"/>
      <c r="X254" s="1057"/>
      <c r="Y254" s="1057"/>
      <c r="Z254" s="1057"/>
      <c r="AA254" s="1057"/>
      <c r="AB254" s="1057"/>
      <c r="AC254" s="1057"/>
      <c r="AD254" s="1057"/>
      <c r="AE254" s="1058"/>
    </row>
    <row r="255" spans="1:40" ht="14.25" customHeight="1" thickBot="1" x14ac:dyDescent="0.3">
      <c r="A255" s="1036" t="str">
        <f>VLOOKUP(M255,ASIGNATURAS!$F$1:$L$1022, 3, FALSE)</f>
        <v>BUSINESS</v>
      </c>
      <c r="B255" s="1037"/>
      <c r="C255" s="1030" t="str">
        <f>VLOOKUP(M255,ASIGNATURAS!$F$1:$L$1022, 4, FALSE)</f>
        <v>Business intelligence (Inglés)</v>
      </c>
      <c r="D255" s="1031"/>
      <c r="E255" s="1031"/>
      <c r="F255" s="1031"/>
      <c r="G255" s="1031"/>
      <c r="H255" s="1031"/>
      <c r="I255" s="1031"/>
      <c r="J255" s="1031"/>
      <c r="K255" s="1031"/>
      <c r="L255" s="1032"/>
      <c r="M255" s="1494">
        <v>9153</v>
      </c>
      <c r="N255" s="1495"/>
      <c r="O255" s="1028" t="str">
        <f>VLOOKUP(M255,ASIGNATURAS!$F$1:$L$1022, 5, FALSE)</f>
        <v>6 (OP)</v>
      </c>
      <c r="P255" s="1029"/>
      <c r="Q255" s="1056" t="str">
        <f>VLOOKUP(M255,ASIGNATURAS!$F$1:$L$1022, 6, FALSE)</f>
        <v>Luis R. Izquierdo</v>
      </c>
      <c r="R255" s="1057"/>
      <c r="S255" s="1057"/>
      <c r="T255" s="1057"/>
      <c r="U255" s="1057"/>
      <c r="V255" s="1057"/>
      <c r="W255" s="1057"/>
      <c r="X255" s="1057"/>
      <c r="Y255" s="1057"/>
      <c r="Z255" s="1057"/>
      <c r="AA255" s="1057"/>
      <c r="AB255" s="1057"/>
      <c r="AC255" s="1057"/>
      <c r="AD255" s="1057"/>
      <c r="AE255" s="1058"/>
    </row>
    <row r="256" spans="1:40" ht="12" customHeight="1" x14ac:dyDescent="0.25"/>
    <row r="257" spans="1:85" x14ac:dyDescent="0.25">
      <c r="A257" t="s">
        <v>1215</v>
      </c>
    </row>
    <row r="258" spans="1:85" x14ac:dyDescent="0.25">
      <c r="CG258" s="20" t="s">
        <v>1092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W115:W118"/>
    <mergeCell ref="X115:X118"/>
    <mergeCell ref="C94:L94"/>
    <mergeCell ref="G82:G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N8:S8"/>
    <mergeCell ref="N9:S9"/>
    <mergeCell ref="AE8:AE13"/>
    <mergeCell ref="X15:X17"/>
    <mergeCell ref="H14:K14"/>
    <mergeCell ref="H8:M8"/>
    <mergeCell ref="W12:W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AI219:AN219"/>
    <mergeCell ref="T212:Y212"/>
    <mergeCell ref="AI217:AN217"/>
    <mergeCell ref="AG213:AG216"/>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H214:M214"/>
    <mergeCell ref="H215:M215"/>
    <mergeCell ref="A216:A217"/>
    <mergeCell ref="N215:S215"/>
    <mergeCell ref="Q225:AE225"/>
    <mergeCell ref="C223:K223"/>
    <mergeCell ref="B216:G216"/>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N217:S217"/>
    <mergeCell ref="Q146:Q149"/>
    <mergeCell ref="B87:D87"/>
    <mergeCell ref="O129:P129"/>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T220:V220"/>
    <mergeCell ref="W220:Y220"/>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W86:W89"/>
    <mergeCell ref="N91:S91"/>
    <mergeCell ref="O86:O89"/>
    <mergeCell ref="N112:S112"/>
    <mergeCell ref="T113:Y113"/>
    <mergeCell ref="C96:L96"/>
    <mergeCell ref="M96:N9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6" t="s">
        <v>620</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31" s="8" customFormat="1" ht="23.25" customHeight="1" x14ac:dyDescent="0.4">
      <c r="A2" s="2291" t="s">
        <v>1018</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279" t="s">
        <v>151</v>
      </c>
      <c r="AA2" s="2279"/>
      <c r="AB2" s="2279"/>
      <c r="AC2" s="2279"/>
      <c r="AD2" s="2279"/>
      <c r="AE2" s="2280"/>
    </row>
    <row r="3" spans="1:31"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689</v>
      </c>
    </row>
    <row r="5" spans="1:31" s="2" customFormat="1" ht="24" customHeight="1" thickBot="1" x14ac:dyDescent="0.3">
      <c r="A5" s="165" t="s">
        <v>1</v>
      </c>
      <c r="B5" s="2254" t="s">
        <v>2</v>
      </c>
      <c r="C5" s="2254"/>
      <c r="D5" s="2254"/>
      <c r="E5" s="2254"/>
      <c r="F5" s="2254"/>
      <c r="G5" s="2255"/>
      <c r="H5" s="2254" t="s">
        <v>3</v>
      </c>
      <c r="I5" s="2254"/>
      <c r="J5" s="2254"/>
      <c r="K5" s="2254"/>
      <c r="L5" s="2254"/>
      <c r="M5" s="2255"/>
      <c r="N5" s="2254" t="s">
        <v>135</v>
      </c>
      <c r="O5" s="2254"/>
      <c r="P5" s="2254"/>
      <c r="Q5" s="2254"/>
      <c r="R5" s="2254"/>
      <c r="S5" s="2255"/>
      <c r="T5" s="2254" t="s">
        <v>4</v>
      </c>
      <c r="U5" s="2254"/>
      <c r="V5" s="2254"/>
      <c r="W5" s="2254"/>
      <c r="X5" s="2254"/>
      <c r="Y5" s="2255"/>
      <c r="Z5" s="2254" t="s">
        <v>5</v>
      </c>
      <c r="AA5" s="2254"/>
      <c r="AB5" s="2254"/>
      <c r="AC5" s="2254"/>
      <c r="AD5" s="2254"/>
      <c r="AE5" s="2255"/>
    </row>
    <row r="6" spans="1:31" ht="30" customHeight="1" x14ac:dyDescent="0.3">
      <c r="A6" s="1128" t="s">
        <v>10</v>
      </c>
      <c r="B6" s="999"/>
      <c r="C6" s="999"/>
      <c r="D6" s="999"/>
      <c r="E6" s="999"/>
      <c r="F6" s="999"/>
      <c r="G6" s="1110"/>
      <c r="H6" s="1096" t="s">
        <v>12</v>
      </c>
      <c r="I6" s="1096"/>
      <c r="J6" s="1096"/>
      <c r="K6" s="1096"/>
      <c r="L6" s="1096"/>
      <c r="M6" s="2256"/>
      <c r="N6" s="1096" t="s">
        <v>23</v>
      </c>
      <c r="O6" s="1096"/>
      <c r="P6" s="1096"/>
      <c r="Q6" s="1096"/>
      <c r="R6" s="1096"/>
      <c r="S6" s="2256"/>
      <c r="T6" s="995" t="s">
        <v>1308</v>
      </c>
      <c r="U6" s="995"/>
      <c r="V6" s="995"/>
      <c r="W6" s="995"/>
      <c r="X6" s="995"/>
      <c r="Y6" s="2253"/>
      <c r="Z6" s="999"/>
      <c r="AA6" s="999"/>
      <c r="AB6" s="999"/>
      <c r="AC6" s="999"/>
      <c r="AD6" s="999"/>
      <c r="AE6" s="1110"/>
    </row>
    <row r="7" spans="1:31" ht="30" customHeight="1" x14ac:dyDescent="0.25">
      <c r="A7" s="1105"/>
      <c r="B7" s="965"/>
      <c r="C7" s="965"/>
      <c r="D7" s="965"/>
      <c r="E7" s="965"/>
      <c r="F7" s="965"/>
      <c r="G7" s="1086"/>
      <c r="H7" s="1109" t="s">
        <v>1243</v>
      </c>
      <c r="I7" s="1073"/>
      <c r="J7" s="1073"/>
      <c r="K7" s="1073"/>
      <c r="L7" s="1073"/>
      <c r="M7" s="2250"/>
      <c r="N7" s="1073" t="s">
        <v>621</v>
      </c>
      <c r="O7" s="1073"/>
      <c r="P7" s="1073"/>
      <c r="Q7" s="1073"/>
      <c r="R7" s="1073"/>
      <c r="S7" s="2250"/>
      <c r="T7" s="952" t="s">
        <v>1286</v>
      </c>
      <c r="U7" s="952"/>
      <c r="V7" s="952"/>
      <c r="W7" s="952"/>
      <c r="X7" s="952"/>
      <c r="Y7" s="1047"/>
      <c r="Z7" s="965"/>
      <c r="AA7" s="965"/>
      <c r="AB7" s="965"/>
      <c r="AC7" s="965"/>
      <c r="AD7" s="965"/>
      <c r="AE7" s="1086"/>
    </row>
    <row r="8" spans="1:31" ht="30" customHeight="1" x14ac:dyDescent="0.3">
      <c r="A8" s="1483" t="s">
        <v>981</v>
      </c>
      <c r="B8" s="1062"/>
      <c r="C8" s="1020"/>
      <c r="D8" s="1020"/>
      <c r="E8" s="1020"/>
      <c r="F8" s="1020"/>
      <c r="G8" s="1021"/>
      <c r="H8" s="1096" t="s">
        <v>12</v>
      </c>
      <c r="I8" s="1096"/>
      <c r="J8" s="1096"/>
      <c r="K8" s="1096"/>
      <c r="L8" s="1096"/>
      <c r="M8" s="2256"/>
      <c r="N8" s="1096" t="s">
        <v>23</v>
      </c>
      <c r="O8" s="1096"/>
      <c r="P8" s="1096"/>
      <c r="Q8" s="1096"/>
      <c r="R8" s="1096"/>
      <c r="S8" s="2256"/>
      <c r="T8" s="1096" t="s">
        <v>1308</v>
      </c>
      <c r="U8" s="1096"/>
      <c r="V8" s="1096"/>
      <c r="W8" s="1096"/>
      <c r="X8" s="1096"/>
      <c r="Y8" s="2256"/>
      <c r="Z8" s="999"/>
      <c r="AA8" s="999"/>
      <c r="AB8" s="999"/>
      <c r="AC8" s="999"/>
      <c r="AD8" s="999"/>
      <c r="AE8" s="1110"/>
    </row>
    <row r="9" spans="1:31" ht="30" customHeight="1" x14ac:dyDescent="0.25">
      <c r="A9" s="1486"/>
      <c r="B9" s="964"/>
      <c r="C9" s="965"/>
      <c r="D9" s="965"/>
      <c r="E9" s="965"/>
      <c r="F9" s="965"/>
      <c r="G9" s="1086"/>
      <c r="H9" s="1109" t="s">
        <v>1243</v>
      </c>
      <c r="I9" s="1073"/>
      <c r="J9" s="1073"/>
      <c r="K9" s="1073"/>
      <c r="L9" s="1073"/>
      <c r="M9" s="2250"/>
      <c r="N9" s="1073" t="s">
        <v>621</v>
      </c>
      <c r="O9" s="1073"/>
      <c r="P9" s="1073"/>
      <c r="Q9" s="1073"/>
      <c r="R9" s="1073"/>
      <c r="S9" s="2250"/>
      <c r="T9" s="1073" t="s">
        <v>1286</v>
      </c>
      <c r="U9" s="1073"/>
      <c r="V9" s="1073"/>
      <c r="W9" s="1073"/>
      <c r="X9" s="1073"/>
      <c r="Y9" s="2250"/>
      <c r="Z9" s="965"/>
      <c r="AA9" s="965"/>
      <c r="AB9" s="965"/>
      <c r="AC9" s="965"/>
      <c r="AD9" s="965"/>
      <c r="AE9" s="1086"/>
    </row>
    <row r="10" spans="1:31" ht="30" customHeight="1" x14ac:dyDescent="0.3">
      <c r="A10" s="1100" t="s">
        <v>982</v>
      </c>
      <c r="B10" s="995" t="s">
        <v>78</v>
      </c>
      <c r="C10" s="995"/>
      <c r="D10" s="995"/>
      <c r="E10" s="995"/>
      <c r="F10" s="995"/>
      <c r="G10" s="2253"/>
      <c r="H10" s="995" t="s">
        <v>23</v>
      </c>
      <c r="I10" s="995"/>
      <c r="J10" s="995"/>
      <c r="K10" s="995"/>
      <c r="L10" s="995"/>
      <c r="M10" s="2253"/>
      <c r="N10" s="995" t="s">
        <v>13</v>
      </c>
      <c r="O10" s="995"/>
      <c r="P10" s="995"/>
      <c r="Q10" s="995"/>
      <c r="R10" s="995"/>
      <c r="S10" s="2253"/>
      <c r="T10" s="1096" t="s">
        <v>1308</v>
      </c>
      <c r="U10" s="1096"/>
      <c r="V10" s="1096"/>
      <c r="W10" s="1096"/>
      <c r="X10" s="1096"/>
      <c r="Y10" s="2256"/>
      <c r="Z10" s="999"/>
      <c r="AA10" s="999"/>
      <c r="AB10" s="999"/>
      <c r="AC10" s="999"/>
      <c r="AD10" s="999"/>
      <c r="AE10" s="1110"/>
    </row>
    <row r="11" spans="1:31" ht="30" customHeight="1" x14ac:dyDescent="0.25">
      <c r="A11" s="1105"/>
      <c r="B11" s="952" t="s">
        <v>151</v>
      </c>
      <c r="C11" s="952"/>
      <c r="D11" s="952"/>
      <c r="E11" s="952"/>
      <c r="F11" s="952"/>
      <c r="G11" s="1047"/>
      <c r="H11" s="952" t="s">
        <v>151</v>
      </c>
      <c r="I11" s="952"/>
      <c r="J11" s="952"/>
      <c r="K11" s="952"/>
      <c r="L11" s="952"/>
      <c r="M11" s="1047"/>
      <c r="N11" s="2260" t="s">
        <v>151</v>
      </c>
      <c r="O11" s="952"/>
      <c r="P11" s="952"/>
      <c r="Q11" s="952"/>
      <c r="R11" s="952"/>
      <c r="S11" s="1047"/>
      <c r="T11" s="1073" t="s">
        <v>1286</v>
      </c>
      <c r="U11" s="1073"/>
      <c r="V11" s="1073"/>
      <c r="W11" s="1073"/>
      <c r="X11" s="1073"/>
      <c r="Y11" s="2250"/>
      <c r="Z11" s="965"/>
      <c r="AA11" s="965"/>
      <c r="AB11" s="965"/>
      <c r="AC11" s="965"/>
      <c r="AD11" s="965"/>
      <c r="AE11" s="1086"/>
    </row>
    <row r="12" spans="1:31" ht="30" customHeight="1" x14ac:dyDescent="0.3">
      <c r="A12" s="1100" t="s">
        <v>7</v>
      </c>
      <c r="B12" s="995" t="s">
        <v>78</v>
      </c>
      <c r="C12" s="995"/>
      <c r="D12" s="995"/>
      <c r="E12" s="995"/>
      <c r="F12" s="995"/>
      <c r="G12" s="2253"/>
      <c r="H12" s="995" t="s">
        <v>23</v>
      </c>
      <c r="I12" s="995"/>
      <c r="J12" s="995"/>
      <c r="K12" s="995"/>
      <c r="L12" s="995"/>
      <c r="M12" s="2253"/>
      <c r="N12" s="995" t="s">
        <v>13</v>
      </c>
      <c r="O12" s="995"/>
      <c r="P12" s="995"/>
      <c r="Q12" s="995"/>
      <c r="R12" s="995"/>
      <c r="S12" s="2253"/>
      <c r="T12" s="1096" t="s">
        <v>1308</v>
      </c>
      <c r="U12" s="1096"/>
      <c r="V12" s="1096"/>
      <c r="W12" s="1096"/>
      <c r="X12" s="1096"/>
      <c r="Y12" s="2256"/>
      <c r="Z12" s="999"/>
      <c r="AA12" s="999"/>
      <c r="AB12" s="999"/>
      <c r="AC12" s="999"/>
      <c r="AD12" s="999"/>
      <c r="AE12" s="1110"/>
    </row>
    <row r="13" spans="1:31" ht="30" customHeight="1" x14ac:dyDescent="0.25">
      <c r="A13" s="1105"/>
      <c r="B13" s="952" t="s">
        <v>151</v>
      </c>
      <c r="C13" s="952"/>
      <c r="D13" s="952"/>
      <c r="E13" s="952"/>
      <c r="F13" s="952"/>
      <c r="G13" s="1047"/>
      <c r="H13" s="952" t="s">
        <v>151</v>
      </c>
      <c r="I13" s="952"/>
      <c r="J13" s="952"/>
      <c r="K13" s="952"/>
      <c r="L13" s="952"/>
      <c r="M13" s="1047"/>
      <c r="N13" s="2260" t="s">
        <v>151</v>
      </c>
      <c r="O13" s="952"/>
      <c r="P13" s="952"/>
      <c r="Q13" s="952"/>
      <c r="R13" s="952"/>
      <c r="S13" s="1047"/>
      <c r="T13" s="1073" t="s">
        <v>1286</v>
      </c>
      <c r="U13" s="1073"/>
      <c r="V13" s="1073"/>
      <c r="W13" s="1073"/>
      <c r="X13" s="1073"/>
      <c r="Y13" s="2250"/>
      <c r="Z13" s="965"/>
      <c r="AA13" s="965"/>
      <c r="AB13" s="965"/>
      <c r="AC13" s="965"/>
      <c r="AD13" s="965"/>
      <c r="AE13" s="1086"/>
    </row>
    <row r="14" spans="1:31" ht="30" customHeight="1" x14ac:dyDescent="0.3">
      <c r="A14" s="1100" t="s">
        <v>8</v>
      </c>
      <c r="B14" s="995" t="s">
        <v>12</v>
      </c>
      <c r="C14" s="995"/>
      <c r="D14" s="995"/>
      <c r="E14" s="995"/>
      <c r="F14" s="995"/>
      <c r="G14" s="2253"/>
      <c r="H14" s="1096" t="s">
        <v>78</v>
      </c>
      <c r="I14" s="1096"/>
      <c r="J14" s="1096"/>
      <c r="K14" s="1096"/>
      <c r="L14" s="1096"/>
      <c r="M14" s="2256"/>
      <c r="N14" s="2314"/>
      <c r="O14" s="2314"/>
      <c r="P14" s="2314"/>
      <c r="Q14" s="2314"/>
      <c r="R14" s="2314"/>
      <c r="S14" s="2315"/>
      <c r="T14" s="1096" t="s">
        <v>13</v>
      </c>
      <c r="U14" s="1096"/>
      <c r="V14" s="1096"/>
      <c r="W14" s="1096"/>
      <c r="X14" s="1096"/>
      <c r="Y14" s="2256"/>
      <c r="Z14" s="1083"/>
      <c r="AA14" s="1020"/>
      <c r="AB14" s="1020"/>
      <c r="AC14" s="1020"/>
      <c r="AD14" s="1020"/>
      <c r="AE14" s="1021"/>
    </row>
    <row r="15" spans="1:31" ht="30" customHeight="1" x14ac:dyDescent="0.25">
      <c r="A15" s="1105"/>
      <c r="B15" s="952" t="s">
        <v>151</v>
      </c>
      <c r="C15" s="952"/>
      <c r="D15" s="952"/>
      <c r="E15" s="952"/>
      <c r="F15" s="952"/>
      <c r="G15" s="1047"/>
      <c r="H15" s="1073" t="s">
        <v>551</v>
      </c>
      <c r="I15" s="1073"/>
      <c r="J15" s="1073"/>
      <c r="K15" s="1073"/>
      <c r="L15" s="1073"/>
      <c r="M15" s="2250"/>
      <c r="N15" s="2312"/>
      <c r="O15" s="1228"/>
      <c r="P15" s="1228"/>
      <c r="Q15" s="1228"/>
      <c r="R15" s="1228"/>
      <c r="S15" s="2313"/>
      <c r="T15" s="1073" t="s">
        <v>1298</v>
      </c>
      <c r="U15" s="1073"/>
      <c r="V15" s="1073"/>
      <c r="W15" s="1073"/>
      <c r="X15" s="1073"/>
      <c r="Y15" s="2250"/>
      <c r="Z15" s="1026"/>
      <c r="AA15" s="965"/>
      <c r="AB15" s="965"/>
      <c r="AC15" s="965"/>
      <c r="AD15" s="965"/>
      <c r="AE15" s="1086"/>
    </row>
    <row r="16" spans="1:31" ht="30" customHeight="1" x14ac:dyDescent="0.3">
      <c r="A16" s="1100" t="s">
        <v>9</v>
      </c>
      <c r="B16" s="995" t="s">
        <v>12</v>
      </c>
      <c r="C16" s="995"/>
      <c r="D16" s="995"/>
      <c r="E16" s="995"/>
      <c r="F16" s="995"/>
      <c r="G16" s="2253"/>
      <c r="H16" s="1096" t="s">
        <v>78</v>
      </c>
      <c r="I16" s="1096"/>
      <c r="J16" s="1096"/>
      <c r="K16" s="1096"/>
      <c r="L16" s="1096"/>
      <c r="M16" s="2256"/>
      <c r="N16" s="2314"/>
      <c r="O16" s="2314"/>
      <c r="P16" s="2314"/>
      <c r="Q16" s="2314"/>
      <c r="R16" s="2314"/>
      <c r="S16" s="2315"/>
      <c r="T16" s="1096" t="s">
        <v>13</v>
      </c>
      <c r="U16" s="1096"/>
      <c r="V16" s="1096"/>
      <c r="W16" s="1096"/>
      <c r="X16" s="1096"/>
      <c r="Y16" s="2256"/>
      <c r="Z16" s="1083"/>
      <c r="AA16" s="1020"/>
      <c r="AB16" s="1020"/>
      <c r="AC16" s="1020"/>
      <c r="AD16" s="1020"/>
      <c r="AE16" s="1021"/>
    </row>
    <row r="17" spans="1:31" ht="30" customHeight="1" x14ac:dyDescent="0.25">
      <c r="A17" s="1105"/>
      <c r="B17" s="952" t="s">
        <v>151</v>
      </c>
      <c r="C17" s="952"/>
      <c r="D17" s="952"/>
      <c r="E17" s="952"/>
      <c r="F17" s="952"/>
      <c r="G17" s="1047"/>
      <c r="H17" s="1073" t="s">
        <v>551</v>
      </c>
      <c r="I17" s="1073"/>
      <c r="J17" s="1073"/>
      <c r="K17" s="1073"/>
      <c r="L17" s="1073"/>
      <c r="M17" s="2250"/>
      <c r="N17" s="2312"/>
      <c r="O17" s="1228"/>
      <c r="P17" s="1228"/>
      <c r="Q17" s="1228"/>
      <c r="R17" s="1228"/>
      <c r="S17" s="2313"/>
      <c r="T17" s="1073" t="s">
        <v>1298</v>
      </c>
      <c r="U17" s="1073"/>
      <c r="V17" s="1073"/>
      <c r="W17" s="1073"/>
      <c r="X17" s="1073"/>
      <c r="Y17" s="2250"/>
      <c r="Z17" s="1026"/>
      <c r="AA17" s="965"/>
      <c r="AB17" s="965"/>
      <c r="AC17" s="965"/>
      <c r="AD17" s="965"/>
      <c r="AE17" s="1086"/>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72" t="s">
        <v>215</v>
      </c>
      <c r="D20" s="2272"/>
      <c r="E20" s="2272"/>
      <c r="F20" s="2272"/>
      <c r="G20" s="2272"/>
      <c r="H20" s="2272"/>
      <c r="I20" s="2272"/>
      <c r="J20" s="2272"/>
      <c r="K20" s="2272"/>
      <c r="L20" s="166"/>
      <c r="M20" s="2267" t="s">
        <v>618</v>
      </c>
      <c r="N20" s="2268"/>
      <c r="O20" s="2272" t="s">
        <v>139</v>
      </c>
      <c r="P20" s="2274"/>
      <c r="Q20" s="2272" t="s">
        <v>163</v>
      </c>
      <c r="R20" s="2272"/>
      <c r="S20" s="2272"/>
      <c r="T20" s="2272"/>
      <c r="U20" s="2272"/>
      <c r="V20" s="2272"/>
      <c r="W20" s="2272"/>
      <c r="X20" s="2272"/>
      <c r="Y20" s="2272"/>
      <c r="Z20" s="2272"/>
      <c r="AA20" s="2272"/>
      <c r="AB20" s="2272"/>
      <c r="AC20" s="2272"/>
      <c r="AD20" s="2272"/>
      <c r="AE20" s="2274"/>
    </row>
    <row r="21" spans="1:31" ht="13.8" x14ac:dyDescent="0.25">
      <c r="A21" s="2251" t="s">
        <v>12</v>
      </c>
      <c r="B21" s="2252"/>
      <c r="C21" s="981" t="str">
        <f>ASIGNATURAS!I259</f>
        <v xml:space="preserve">Cálculo </v>
      </c>
      <c r="D21" s="982"/>
      <c r="E21" s="982"/>
      <c r="F21" s="982"/>
      <c r="G21" s="982"/>
      <c r="H21" s="982"/>
      <c r="I21" s="982"/>
      <c r="J21" s="982"/>
      <c r="K21" s="982"/>
      <c r="L21" s="982"/>
      <c r="M21" s="1205">
        <v>7711</v>
      </c>
      <c r="N21" s="1205"/>
      <c r="O21" s="936">
        <v>6</v>
      </c>
      <c r="P21" s="1205"/>
      <c r="Q21" s="2006" t="str">
        <f>ASIGNATURAS!K259</f>
        <v>Elena Cebrián de Barrio</v>
      </c>
      <c r="R21" s="1177"/>
      <c r="S21" s="1177"/>
      <c r="T21" s="1177"/>
      <c r="U21" s="1177"/>
      <c r="V21" s="1177"/>
      <c r="W21" s="1177"/>
      <c r="X21" s="1177"/>
      <c r="Y21" s="1177"/>
      <c r="Z21" s="1177"/>
      <c r="AA21" s="1177"/>
      <c r="AB21" s="1177"/>
      <c r="AC21" s="1177"/>
      <c r="AD21" s="1177"/>
      <c r="AE21" s="981"/>
    </row>
    <row r="22" spans="1:31" ht="13.8" x14ac:dyDescent="0.25">
      <c r="A22" s="2251" t="s">
        <v>13</v>
      </c>
      <c r="B22" s="2252"/>
      <c r="C22" s="2006" t="str">
        <f>ASIGNATURAS!I260</f>
        <v>Álgebra y Ecuaciones Diferenciales</v>
      </c>
      <c r="D22" s="1177"/>
      <c r="E22" s="1177"/>
      <c r="F22" s="1177"/>
      <c r="G22" s="1177"/>
      <c r="H22" s="1177"/>
      <c r="I22" s="1177"/>
      <c r="J22" s="1177"/>
      <c r="K22" s="1177"/>
      <c r="L22" s="981"/>
      <c r="M22" s="1205">
        <v>7712</v>
      </c>
      <c r="N22" s="1205"/>
      <c r="O22" s="936">
        <v>6</v>
      </c>
      <c r="P22" s="1205"/>
      <c r="Q22" s="2006" t="str">
        <f>ASIGNATURAS!K260</f>
        <v/>
      </c>
      <c r="R22" s="1177"/>
      <c r="S22" s="1177"/>
      <c r="T22" s="1177"/>
      <c r="U22" s="1177"/>
      <c r="V22" s="1177"/>
      <c r="W22" s="1177"/>
      <c r="X22" s="1177"/>
      <c r="Y22" s="1177"/>
      <c r="Z22" s="1177"/>
      <c r="AA22" s="1177"/>
      <c r="AB22" s="1177"/>
      <c r="AC22" s="1177"/>
      <c r="AD22" s="1177"/>
      <c r="AE22" s="981"/>
    </row>
    <row r="23" spans="1:31" ht="13.8" x14ac:dyDescent="0.25">
      <c r="A23" s="2251" t="s">
        <v>78</v>
      </c>
      <c r="B23" s="2252"/>
      <c r="C23" s="2006" t="str">
        <f>ASIGNATURAS!I261</f>
        <v>Física I</v>
      </c>
      <c r="D23" s="1177"/>
      <c r="E23" s="1177"/>
      <c r="F23" s="1177"/>
      <c r="G23" s="1177"/>
      <c r="H23" s="1177"/>
      <c r="I23" s="1177"/>
      <c r="J23" s="1177"/>
      <c r="K23" s="1177"/>
      <c r="L23" s="981"/>
      <c r="M23" s="1205">
        <v>7713</v>
      </c>
      <c r="N23" s="1205"/>
      <c r="O23" s="936">
        <v>6</v>
      </c>
      <c r="P23" s="1205"/>
      <c r="Q23" s="2006" t="str">
        <f>ASIGNATURAS!K261</f>
        <v xml:space="preserve">Juan José Villalaín , </v>
      </c>
      <c r="R23" s="1177"/>
      <c r="S23" s="1177"/>
      <c r="T23" s="1177"/>
      <c r="U23" s="1177"/>
      <c r="V23" s="1177"/>
      <c r="W23" s="1177"/>
      <c r="X23" s="1177"/>
      <c r="Y23" s="1177"/>
      <c r="Z23" s="1177"/>
      <c r="AA23" s="1177"/>
      <c r="AB23" s="1177"/>
      <c r="AC23" s="1177"/>
      <c r="AD23" s="1177"/>
      <c r="AE23" s="981"/>
    </row>
    <row r="24" spans="1:31" ht="13.8" x14ac:dyDescent="0.25">
      <c r="A24" s="2251" t="s">
        <v>23</v>
      </c>
      <c r="B24" s="2252"/>
      <c r="C24" s="2006" t="str">
        <f>ASIGNATURAS!I262</f>
        <v>Química</v>
      </c>
      <c r="D24" s="1177"/>
      <c r="E24" s="1177"/>
      <c r="F24" s="1177"/>
      <c r="G24" s="1177"/>
      <c r="H24" s="1177"/>
      <c r="I24" s="1177"/>
      <c r="J24" s="1177"/>
      <c r="K24" s="1177"/>
      <c r="L24" s="981"/>
      <c r="M24" s="1205">
        <v>7714</v>
      </c>
      <c r="N24" s="1205"/>
      <c r="O24" s="936">
        <v>6</v>
      </c>
      <c r="P24" s="1205"/>
      <c r="Q24" s="2006" t="str">
        <f>ASIGNATURAS!K262</f>
        <v xml:space="preserve">Indalecio Peñacoba, Francisco Javier Rodriguez , </v>
      </c>
      <c r="R24" s="1177"/>
      <c r="S24" s="1177"/>
      <c r="T24" s="1177"/>
      <c r="U24" s="1177"/>
      <c r="V24" s="1177"/>
      <c r="W24" s="1177"/>
      <c r="X24" s="1177"/>
      <c r="Y24" s="1177"/>
      <c r="Z24" s="1177"/>
      <c r="AA24" s="1177"/>
      <c r="AB24" s="1177"/>
      <c r="AC24" s="1177"/>
      <c r="AD24" s="1177"/>
      <c r="AE24" s="981"/>
    </row>
    <row r="25" spans="1:31" ht="13.8" x14ac:dyDescent="0.25">
      <c r="A25" s="2251" t="s">
        <v>22</v>
      </c>
      <c r="B25" s="2252"/>
      <c r="C25" s="2006" t="str">
        <f>ASIGNATURAS!I263</f>
        <v>Expresión Gráfica I</v>
      </c>
      <c r="D25" s="1177"/>
      <c r="E25" s="1177"/>
      <c r="F25" s="1177"/>
      <c r="G25" s="1177"/>
      <c r="H25" s="1177"/>
      <c r="I25" s="1177"/>
      <c r="J25" s="1177"/>
      <c r="K25" s="1177"/>
      <c r="L25" s="981"/>
      <c r="M25" s="1205">
        <v>7715</v>
      </c>
      <c r="N25" s="1205"/>
      <c r="O25" s="936">
        <v>6</v>
      </c>
      <c r="P25" s="1205"/>
      <c r="Q25" s="2006" t="str">
        <f>ASIGNATURAS!K263</f>
        <v>Arturo de Román Miguel, Elías Martínez</v>
      </c>
      <c r="R25" s="1177"/>
      <c r="S25" s="1177"/>
      <c r="T25" s="1177"/>
      <c r="U25" s="1177"/>
      <c r="V25" s="1177"/>
      <c r="W25" s="1177"/>
      <c r="X25" s="1177"/>
      <c r="Y25" s="1177"/>
      <c r="Z25" s="1177"/>
      <c r="AA25" s="1177"/>
      <c r="AB25" s="1177"/>
      <c r="AC25" s="1177"/>
      <c r="AD25" s="1177"/>
      <c r="AE25" s="981"/>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6" t="s">
        <v>620</v>
      </c>
      <c r="B34" s="2297"/>
      <c r="C34" s="2297"/>
      <c r="D34" s="2297"/>
      <c r="E34" s="2297"/>
      <c r="F34" s="2297"/>
      <c r="G34" s="2297"/>
      <c r="H34" s="2297"/>
      <c r="I34" s="2297"/>
      <c r="J34" s="2297"/>
      <c r="K34" s="2297"/>
      <c r="L34" s="2297"/>
      <c r="M34" s="2297"/>
      <c r="N34" s="2297"/>
      <c r="O34" s="2297"/>
      <c r="P34" s="2297"/>
      <c r="Q34" s="2297"/>
      <c r="R34" s="2297"/>
      <c r="S34" s="2297"/>
      <c r="T34" s="2297"/>
      <c r="U34" s="2297"/>
      <c r="V34" s="2297"/>
      <c r="W34" s="2297"/>
      <c r="X34" s="2297"/>
      <c r="Y34" s="2298"/>
      <c r="Z34" s="2254" t="str">
        <f>Z1</f>
        <v>Curso 2024-2025</v>
      </c>
      <c r="AA34" s="2254"/>
      <c r="AB34" s="2254"/>
      <c r="AC34" s="2254"/>
      <c r="AD34" s="2254"/>
      <c r="AE34" s="2255"/>
    </row>
    <row r="35" spans="1:31" s="8" customFormat="1" ht="23.25" customHeight="1" x14ac:dyDescent="0.4">
      <c r="A35" s="2291" t="s">
        <v>1003</v>
      </c>
      <c r="B35" s="2292"/>
      <c r="C35" s="2292"/>
      <c r="D35" s="2292"/>
      <c r="E35" s="2292"/>
      <c r="F35" s="2292"/>
      <c r="G35" s="2292"/>
      <c r="H35" s="2292"/>
      <c r="I35" s="2292"/>
      <c r="J35" s="2292"/>
      <c r="K35" s="2292"/>
      <c r="L35" s="2292"/>
      <c r="M35" s="2292"/>
      <c r="N35" s="2292"/>
      <c r="O35" s="2292"/>
      <c r="P35" s="2292"/>
      <c r="Q35" s="2292"/>
      <c r="R35" s="2292"/>
      <c r="S35" s="2292"/>
      <c r="T35" s="2292"/>
      <c r="U35" s="2292"/>
      <c r="V35" s="2292"/>
      <c r="W35" s="2292"/>
      <c r="X35" s="2292"/>
      <c r="Y35" s="2293"/>
      <c r="Z35" s="2279" t="s">
        <v>151</v>
      </c>
      <c r="AA35" s="2279"/>
      <c r="AB35" s="2279"/>
      <c r="AC35" s="2279"/>
      <c r="AD35" s="2279"/>
      <c r="AE35" s="2280"/>
    </row>
    <row r="36" spans="1:31" s="8" customFormat="1" ht="23.25" customHeight="1" x14ac:dyDescent="0.4">
      <c r="A36" s="2264" t="s">
        <v>138</v>
      </c>
      <c r="B36" s="2265"/>
      <c r="C36" s="2265"/>
      <c r="D36" s="2265"/>
      <c r="E36" s="2265"/>
      <c r="F36" s="2265"/>
      <c r="G36" s="2265"/>
      <c r="H36" s="2265"/>
      <c r="I36" s="2265"/>
      <c r="J36" s="2265"/>
      <c r="K36" s="2265"/>
      <c r="L36" s="2265"/>
      <c r="M36" s="2265"/>
      <c r="N36" s="2265"/>
      <c r="O36" s="2265"/>
      <c r="P36" s="2265"/>
      <c r="Q36" s="2265"/>
      <c r="R36" s="2265"/>
      <c r="S36" s="2265"/>
      <c r="T36" s="2265"/>
      <c r="U36" s="2265"/>
      <c r="V36" s="2265"/>
      <c r="W36" s="2265"/>
      <c r="X36" s="2265"/>
      <c r="Y36" s="2266"/>
      <c r="Z36" s="2281"/>
      <c r="AA36" s="2281"/>
      <c r="AB36" s="2281"/>
      <c r="AC36" s="2281"/>
      <c r="AD36" s="2281"/>
      <c r="AE36" s="2282"/>
    </row>
    <row r="37" spans="1:31" ht="38.25" customHeight="1" x14ac:dyDescent="0.25">
      <c r="A37" s="23" t="s">
        <v>690</v>
      </c>
    </row>
    <row r="38" spans="1:31" s="2" customFormat="1" ht="24" customHeight="1" thickBot="1" x14ac:dyDescent="0.3">
      <c r="A38" s="165" t="s">
        <v>1</v>
      </c>
      <c r="B38" s="2254" t="s">
        <v>2</v>
      </c>
      <c r="C38" s="2254"/>
      <c r="D38" s="2254"/>
      <c r="E38" s="2254"/>
      <c r="F38" s="2254"/>
      <c r="G38" s="2255"/>
      <c r="H38" s="2254" t="s">
        <v>3</v>
      </c>
      <c r="I38" s="2254"/>
      <c r="J38" s="2254"/>
      <c r="K38" s="2254"/>
      <c r="L38" s="2254"/>
      <c r="M38" s="2255"/>
      <c r="N38" s="2254" t="s">
        <v>135</v>
      </c>
      <c r="O38" s="2254"/>
      <c r="P38" s="2254"/>
      <c r="Q38" s="2254"/>
      <c r="R38" s="2254"/>
      <c r="S38" s="2255"/>
      <c r="T38" s="2254" t="s">
        <v>4</v>
      </c>
      <c r="U38" s="2254"/>
      <c r="V38" s="2254"/>
      <c r="W38" s="2254"/>
      <c r="X38" s="2254"/>
      <c r="Y38" s="2255"/>
      <c r="Z38" s="2254" t="s">
        <v>5</v>
      </c>
      <c r="AA38" s="2254"/>
      <c r="AB38" s="2254"/>
      <c r="AC38" s="2254"/>
      <c r="AD38" s="2254"/>
      <c r="AE38" s="2255"/>
    </row>
    <row r="39" spans="1:31" ht="30" customHeight="1" x14ac:dyDescent="0.3">
      <c r="A39" s="1128" t="s">
        <v>10</v>
      </c>
      <c r="B39" s="2316" t="s">
        <v>26</v>
      </c>
      <c r="C39" s="2316"/>
      <c r="D39" s="2316"/>
      <c r="E39" s="2316"/>
      <c r="F39" s="2316"/>
      <c r="G39" s="2317"/>
      <c r="H39" s="2322" t="s">
        <v>26</v>
      </c>
      <c r="I39" s="2322"/>
      <c r="J39" s="2322"/>
      <c r="K39" s="2322"/>
      <c r="L39" s="2322"/>
      <c r="M39" s="2323"/>
      <c r="N39" s="2322" t="s">
        <v>25</v>
      </c>
      <c r="O39" s="2322"/>
      <c r="P39" s="2322"/>
      <c r="Q39" s="2322"/>
      <c r="R39" s="2322"/>
      <c r="S39" s="2323"/>
      <c r="T39" s="2318" t="s">
        <v>1310</v>
      </c>
      <c r="U39" s="979"/>
      <c r="V39" s="979"/>
      <c r="W39" s="979"/>
      <c r="X39" s="979"/>
      <c r="Y39" s="2319"/>
      <c r="Z39" s="2320"/>
      <c r="AA39" s="932"/>
      <c r="AB39" s="932"/>
      <c r="AC39" s="932"/>
      <c r="AD39" s="932"/>
      <c r="AE39" s="2321"/>
    </row>
    <row r="40" spans="1:31" ht="30" customHeight="1" x14ac:dyDescent="0.25">
      <c r="A40" s="1105"/>
      <c r="B40" s="1073" t="s">
        <v>146</v>
      </c>
      <c r="C40" s="1073"/>
      <c r="D40" s="1073"/>
      <c r="E40" s="1073"/>
      <c r="F40" s="1073"/>
      <c r="G40" s="2250"/>
      <c r="H40" s="952" t="s">
        <v>146</v>
      </c>
      <c r="I40" s="952"/>
      <c r="J40" s="952"/>
      <c r="K40" s="952"/>
      <c r="L40" s="952"/>
      <c r="M40" s="1047"/>
      <c r="N40" s="952" t="s">
        <v>151</v>
      </c>
      <c r="O40" s="952"/>
      <c r="P40" s="952"/>
      <c r="Q40" s="952"/>
      <c r="R40" s="952"/>
      <c r="S40" s="1047"/>
      <c r="T40" s="2260" t="s">
        <v>813</v>
      </c>
      <c r="U40" s="952"/>
      <c r="V40" s="952"/>
      <c r="W40" s="952"/>
      <c r="X40" s="952"/>
      <c r="Y40" s="1047"/>
      <c r="Z40" s="965"/>
      <c r="AA40" s="965"/>
      <c r="AB40" s="965"/>
      <c r="AC40" s="965"/>
      <c r="AD40" s="965"/>
      <c r="AE40" s="1086"/>
    </row>
    <row r="41" spans="1:31" ht="30" customHeight="1" x14ac:dyDescent="0.3">
      <c r="A41" s="1100" t="s">
        <v>981</v>
      </c>
      <c r="B41" s="1096" t="s">
        <v>26</v>
      </c>
      <c r="C41" s="1096"/>
      <c r="D41" s="1096"/>
      <c r="E41" s="1096"/>
      <c r="F41" s="1096"/>
      <c r="G41" s="2256"/>
      <c r="H41" s="995" t="s">
        <v>26</v>
      </c>
      <c r="I41" s="995"/>
      <c r="J41" s="995"/>
      <c r="K41" s="995"/>
      <c r="L41" s="995"/>
      <c r="M41" s="2253"/>
      <c r="N41" s="995" t="s">
        <v>25</v>
      </c>
      <c r="O41" s="995"/>
      <c r="P41" s="995"/>
      <c r="Q41" s="995"/>
      <c r="R41" s="995"/>
      <c r="S41" s="2253"/>
      <c r="T41" s="995" t="s">
        <v>49</v>
      </c>
      <c r="U41" s="957"/>
      <c r="V41" s="957"/>
      <c r="W41" s="957"/>
      <c r="X41" s="957"/>
      <c r="Y41" s="1146"/>
      <c r="Z41" s="999"/>
      <c r="AA41" s="1020"/>
      <c r="AB41" s="1020"/>
      <c r="AC41" s="1020"/>
      <c r="AD41" s="1020"/>
      <c r="AE41" s="1021"/>
    </row>
    <row r="42" spans="1:31" ht="30" customHeight="1" x14ac:dyDescent="0.25">
      <c r="A42" s="1105"/>
      <c r="B42" s="1073" t="s">
        <v>146</v>
      </c>
      <c r="C42" s="1073"/>
      <c r="D42" s="1073"/>
      <c r="E42" s="1073"/>
      <c r="F42" s="1073"/>
      <c r="G42" s="2250"/>
      <c r="H42" s="952" t="s">
        <v>146</v>
      </c>
      <c r="I42" s="952"/>
      <c r="J42" s="952"/>
      <c r="K42" s="952"/>
      <c r="L42" s="952"/>
      <c r="M42" s="1047"/>
      <c r="N42" s="952" t="s">
        <v>151</v>
      </c>
      <c r="O42" s="952"/>
      <c r="P42" s="952"/>
      <c r="Q42" s="952"/>
      <c r="R42" s="952"/>
      <c r="S42" s="1047"/>
      <c r="T42" s="952" t="s">
        <v>151</v>
      </c>
      <c r="U42" s="952"/>
      <c r="V42" s="952"/>
      <c r="W42" s="952"/>
      <c r="X42" s="952"/>
      <c r="Y42" s="1047"/>
      <c r="Z42" s="965"/>
      <c r="AA42" s="965"/>
      <c r="AB42" s="965"/>
      <c r="AC42" s="965"/>
      <c r="AD42" s="965"/>
      <c r="AE42" s="1086"/>
    </row>
    <row r="43" spans="1:31" ht="30" customHeight="1" x14ac:dyDescent="0.3">
      <c r="A43" s="1100" t="s">
        <v>982</v>
      </c>
      <c r="B43" s="1096" t="s">
        <v>1310</v>
      </c>
      <c r="C43" s="987"/>
      <c r="D43" s="987"/>
      <c r="E43" s="987"/>
      <c r="F43" s="987"/>
      <c r="G43" s="2257"/>
      <c r="H43" s="1096" t="s">
        <v>25</v>
      </c>
      <c r="I43" s="987"/>
      <c r="J43" s="987"/>
      <c r="K43" s="987"/>
      <c r="L43" s="987"/>
      <c r="M43" s="2257"/>
      <c r="N43" s="1096" t="s">
        <v>49</v>
      </c>
      <c r="O43" s="987"/>
      <c r="P43" s="987"/>
      <c r="Q43" s="987"/>
      <c r="R43" s="987"/>
      <c r="S43" s="2257"/>
      <c r="T43" s="1096" t="s">
        <v>634</v>
      </c>
      <c r="U43" s="987"/>
      <c r="V43" s="987"/>
      <c r="W43" s="987"/>
      <c r="X43" s="987"/>
      <c r="Y43" s="2257"/>
      <c r="Z43" s="1096" t="s">
        <v>24</v>
      </c>
      <c r="AA43" s="987"/>
      <c r="AB43" s="987"/>
      <c r="AC43" s="987"/>
      <c r="AD43" s="987"/>
      <c r="AE43" s="2257"/>
    </row>
    <row r="44" spans="1:31" ht="30" customHeight="1" x14ac:dyDescent="0.25">
      <c r="A44" s="1105"/>
      <c r="B44" s="1109" t="s">
        <v>1286</v>
      </c>
      <c r="C44" s="1073"/>
      <c r="D44" s="1073"/>
      <c r="E44" s="1073"/>
      <c r="F44" s="1073"/>
      <c r="G44" s="2250"/>
      <c r="H44" s="1109" t="s">
        <v>551</v>
      </c>
      <c r="I44" s="1073"/>
      <c r="J44" s="1073"/>
      <c r="K44" s="1073"/>
      <c r="L44" s="1073"/>
      <c r="M44" s="2250"/>
      <c r="N44" s="1073" t="s">
        <v>735</v>
      </c>
      <c r="O44" s="1073"/>
      <c r="P44" s="1073"/>
      <c r="Q44" s="1073"/>
      <c r="R44" s="1073"/>
      <c r="S44" s="2250"/>
      <c r="T44" s="1073" t="s">
        <v>160</v>
      </c>
      <c r="U44" s="1073"/>
      <c r="V44" s="1073"/>
      <c r="W44" s="1073"/>
      <c r="X44" s="1073"/>
      <c r="Y44" s="2250"/>
      <c r="Z44" s="1109" t="s">
        <v>144</v>
      </c>
      <c r="AA44" s="1073"/>
      <c r="AB44" s="1073"/>
      <c r="AC44" s="1073"/>
      <c r="AD44" s="1073"/>
      <c r="AE44" s="2250"/>
    </row>
    <row r="45" spans="1:31" ht="30" customHeight="1" x14ac:dyDescent="0.3">
      <c r="A45" s="1100" t="s">
        <v>7</v>
      </c>
      <c r="B45" s="1096" t="s">
        <v>1310</v>
      </c>
      <c r="C45" s="987"/>
      <c r="D45" s="987"/>
      <c r="E45" s="987"/>
      <c r="F45" s="987"/>
      <c r="G45" s="2257"/>
      <c r="H45" s="1096" t="s">
        <v>25</v>
      </c>
      <c r="I45" s="987"/>
      <c r="J45" s="987"/>
      <c r="K45" s="987"/>
      <c r="L45" s="987"/>
      <c r="M45" s="2257"/>
      <c r="N45" s="1096" t="s">
        <v>49</v>
      </c>
      <c r="O45" s="987"/>
      <c r="P45" s="987"/>
      <c r="Q45" s="987"/>
      <c r="R45" s="987"/>
      <c r="S45" s="2257"/>
      <c r="T45" s="1096" t="s">
        <v>634</v>
      </c>
      <c r="U45" s="987"/>
      <c r="V45" s="987"/>
      <c r="W45" s="987"/>
      <c r="X45" s="987"/>
      <c r="Y45" s="2257"/>
      <c r="Z45" s="1096" t="s">
        <v>24</v>
      </c>
      <c r="AA45" s="987"/>
      <c r="AB45" s="987"/>
      <c r="AC45" s="987"/>
      <c r="AD45" s="987"/>
      <c r="AE45" s="2257"/>
    </row>
    <row r="46" spans="1:31" ht="30" customHeight="1" x14ac:dyDescent="0.25">
      <c r="A46" s="1105"/>
      <c r="B46" s="1109" t="s">
        <v>1286</v>
      </c>
      <c r="C46" s="1073"/>
      <c r="D46" s="1073"/>
      <c r="E46" s="1073"/>
      <c r="F46" s="1073"/>
      <c r="G46" s="2250"/>
      <c r="H46" s="1109" t="s">
        <v>551</v>
      </c>
      <c r="I46" s="1073"/>
      <c r="J46" s="1073"/>
      <c r="K46" s="1073"/>
      <c r="L46" s="1073"/>
      <c r="M46" s="2250"/>
      <c r="N46" s="1073" t="s">
        <v>735</v>
      </c>
      <c r="O46" s="1073"/>
      <c r="P46" s="1073"/>
      <c r="Q46" s="1073"/>
      <c r="R46" s="1073"/>
      <c r="S46" s="2250"/>
      <c r="T46" s="1073" t="s">
        <v>160</v>
      </c>
      <c r="U46" s="1073"/>
      <c r="V46" s="1073"/>
      <c r="W46" s="1073"/>
      <c r="X46" s="1073"/>
      <c r="Y46" s="2250"/>
      <c r="Z46" s="1109" t="s">
        <v>144</v>
      </c>
      <c r="AA46" s="1073"/>
      <c r="AB46" s="1073"/>
      <c r="AC46" s="1073"/>
      <c r="AD46" s="1073"/>
      <c r="AE46" s="2250"/>
    </row>
    <row r="47" spans="1:31" ht="30" customHeight="1" x14ac:dyDescent="0.3">
      <c r="A47" s="1100" t="s">
        <v>8</v>
      </c>
      <c r="B47" s="1096" t="s">
        <v>1310</v>
      </c>
      <c r="C47" s="987"/>
      <c r="D47" s="987"/>
      <c r="E47" s="987"/>
      <c r="F47" s="987"/>
      <c r="G47" s="2257"/>
      <c r="H47" s="999"/>
      <c r="I47" s="1020"/>
      <c r="J47" s="1020"/>
      <c r="K47" s="1020"/>
      <c r="L47" s="1020"/>
      <c r="M47" s="1021"/>
      <c r="N47" s="995" t="s">
        <v>24</v>
      </c>
      <c r="O47" s="957"/>
      <c r="P47" s="957"/>
      <c r="Q47" s="957"/>
      <c r="R47" s="957"/>
      <c r="S47" s="1146"/>
      <c r="T47" s="995" t="s">
        <v>49</v>
      </c>
      <c r="U47" s="957"/>
      <c r="V47" s="957"/>
      <c r="W47" s="957"/>
      <c r="X47" s="957"/>
      <c r="Y47" s="1146"/>
      <c r="Z47" s="2322" t="s">
        <v>634</v>
      </c>
      <c r="AA47" s="979"/>
      <c r="AB47" s="979"/>
      <c r="AC47" s="979"/>
      <c r="AD47" s="979"/>
      <c r="AE47" s="2319"/>
    </row>
    <row r="48" spans="1:31" ht="30" customHeight="1" x14ac:dyDescent="0.25">
      <c r="A48" s="1105"/>
      <c r="B48" s="1109" t="s">
        <v>1286</v>
      </c>
      <c r="C48" s="1073"/>
      <c r="D48" s="1073"/>
      <c r="E48" s="1073"/>
      <c r="F48" s="1073"/>
      <c r="G48" s="2250"/>
      <c r="H48" s="1026"/>
      <c r="I48" s="965"/>
      <c r="J48" s="965"/>
      <c r="K48" s="965"/>
      <c r="L48" s="965"/>
      <c r="M48" s="1086"/>
      <c r="N48" s="952" t="s">
        <v>151</v>
      </c>
      <c r="O48" s="952"/>
      <c r="P48" s="952"/>
      <c r="Q48" s="952"/>
      <c r="R48" s="952"/>
      <c r="S48" s="1047"/>
      <c r="T48" s="2260" t="s">
        <v>151</v>
      </c>
      <c r="U48" s="952"/>
      <c r="V48" s="952"/>
      <c r="W48" s="952"/>
      <c r="X48" s="952"/>
      <c r="Y48" s="1047"/>
      <c r="Z48" s="952" t="s">
        <v>151</v>
      </c>
      <c r="AA48" s="952"/>
      <c r="AB48" s="952"/>
      <c r="AC48" s="952"/>
      <c r="AD48" s="952"/>
      <c r="AE48" s="1047"/>
    </row>
    <row r="49" spans="1:31" ht="30" customHeight="1" x14ac:dyDescent="0.3">
      <c r="A49" s="1100" t="s">
        <v>9</v>
      </c>
      <c r="B49" s="999"/>
      <c r="C49" s="1020"/>
      <c r="D49" s="1020"/>
      <c r="E49" s="1020"/>
      <c r="F49" s="1020"/>
      <c r="G49" s="1021"/>
      <c r="H49" s="999"/>
      <c r="I49" s="999"/>
      <c r="J49" s="999"/>
      <c r="K49" s="999"/>
      <c r="L49" s="999"/>
      <c r="M49" s="1110"/>
      <c r="N49" s="995" t="s">
        <v>24</v>
      </c>
      <c r="O49" s="957"/>
      <c r="P49" s="957"/>
      <c r="Q49" s="957"/>
      <c r="R49" s="957"/>
      <c r="S49" s="1146"/>
      <c r="T49" s="415"/>
      <c r="U49" s="20"/>
      <c r="V49" s="20"/>
      <c r="W49" s="20"/>
      <c r="X49" s="20"/>
      <c r="Y49" s="20"/>
      <c r="Z49" s="2263" t="s">
        <v>634</v>
      </c>
      <c r="AA49" s="957"/>
      <c r="AB49" s="957"/>
      <c r="AC49" s="957"/>
      <c r="AD49" s="957"/>
      <c r="AE49" s="1146"/>
    </row>
    <row r="50" spans="1:31" ht="30" customHeight="1" x14ac:dyDescent="0.25">
      <c r="A50" s="1105"/>
      <c r="B50" s="1026"/>
      <c r="C50" s="965"/>
      <c r="D50" s="965"/>
      <c r="E50" s="965"/>
      <c r="F50" s="965"/>
      <c r="G50" s="1086"/>
      <c r="H50" s="965"/>
      <c r="I50" s="965"/>
      <c r="J50" s="965"/>
      <c r="K50" s="965"/>
      <c r="L50" s="965"/>
      <c r="M50" s="1086"/>
      <c r="N50" s="952" t="s">
        <v>151</v>
      </c>
      <c r="O50" s="952"/>
      <c r="P50" s="952"/>
      <c r="Q50" s="952"/>
      <c r="R50" s="952"/>
      <c r="S50" s="1047"/>
      <c r="T50" s="416"/>
      <c r="U50" s="20"/>
      <c r="V50" s="20"/>
      <c r="W50" s="20"/>
      <c r="X50" s="20"/>
      <c r="Y50" s="20"/>
      <c r="Z50" s="2260" t="s">
        <v>151</v>
      </c>
      <c r="AA50" s="952"/>
      <c r="AB50" s="952"/>
      <c r="AC50" s="952"/>
      <c r="AD50" s="952"/>
      <c r="AE50" s="1047"/>
    </row>
    <row r="51" spans="1:31" ht="41.25" customHeight="1" x14ac:dyDescent="0.25">
      <c r="R51" s="327"/>
      <c r="U51" s="327"/>
      <c r="V51" s="327"/>
      <c r="W51" s="327"/>
      <c r="X51" s="327"/>
      <c r="Y51" s="327"/>
    </row>
    <row r="52" spans="1:31" ht="18.75" customHeight="1" x14ac:dyDescent="0.25">
      <c r="A52" s="731" t="s">
        <v>214</v>
      </c>
      <c r="B52" s="732"/>
      <c r="C52" s="2272" t="str">
        <f>ASIGNATURAS!I264</f>
        <v>Ampliación de Cálculo y Geometría</v>
      </c>
      <c r="D52" s="2272"/>
      <c r="E52" s="2272"/>
      <c r="F52" s="2272"/>
      <c r="G52" s="2272"/>
      <c r="H52" s="2272"/>
      <c r="I52" s="2272"/>
      <c r="J52" s="2272"/>
      <c r="K52" s="2272"/>
      <c r="L52" s="166"/>
      <c r="M52" s="2267" t="s">
        <v>618</v>
      </c>
      <c r="N52" s="2268"/>
      <c r="O52" s="2272" t="s">
        <v>139</v>
      </c>
      <c r="P52" s="2274"/>
      <c r="Q52" s="2272" t="s">
        <v>163</v>
      </c>
      <c r="R52" s="2272"/>
      <c r="S52" s="2272"/>
      <c r="T52" s="2272"/>
      <c r="U52" s="2272"/>
      <c r="V52" s="2272"/>
      <c r="W52" s="2272"/>
      <c r="X52" s="2272"/>
      <c r="Y52" s="2272"/>
      <c r="Z52" s="2272"/>
      <c r="AA52" s="2272"/>
      <c r="AB52" s="2272"/>
      <c r="AC52" s="2272"/>
      <c r="AD52" s="2272"/>
      <c r="AE52" s="2274"/>
    </row>
    <row r="53" spans="1:31" ht="15" customHeight="1" x14ac:dyDescent="0.25">
      <c r="A53" s="2245" t="s">
        <v>910</v>
      </c>
      <c r="B53" s="2246"/>
      <c r="C53" s="2261" t="str">
        <f>ASIGNATURAS!I264</f>
        <v>Ampliación de Cálculo y Geometría</v>
      </c>
      <c r="D53" s="2262"/>
      <c r="E53" s="2262"/>
      <c r="F53" s="2262"/>
      <c r="G53" s="2262"/>
      <c r="H53" s="2262"/>
      <c r="I53" s="2262"/>
      <c r="J53" s="2262"/>
      <c r="K53" s="2262"/>
      <c r="L53" s="2262"/>
      <c r="M53" s="1205">
        <v>7716</v>
      </c>
      <c r="N53" s="1205"/>
      <c r="O53" s="2305">
        <v>6</v>
      </c>
      <c r="P53" s="2306"/>
      <c r="Q53" s="981" t="str">
        <f>ASIGNATURAS!K264</f>
        <v>Leticia Sainz</v>
      </c>
      <c r="R53" s="982"/>
      <c r="S53" s="982"/>
      <c r="T53" s="982"/>
      <c r="U53" s="982"/>
      <c r="V53" s="982"/>
      <c r="W53" s="982"/>
      <c r="X53" s="982"/>
      <c r="Y53" s="982"/>
      <c r="Z53" s="982"/>
      <c r="AA53" s="982"/>
      <c r="AB53" s="982"/>
      <c r="AC53" s="982"/>
      <c r="AD53" s="982"/>
      <c r="AE53" s="982"/>
    </row>
    <row r="54" spans="1:31" ht="14.25" customHeight="1" x14ac:dyDescent="0.25">
      <c r="A54" s="2245" t="s">
        <v>926</v>
      </c>
      <c r="B54" s="2246"/>
      <c r="C54" s="2261" t="str">
        <f>ASIGNATURAS!I265</f>
        <v>Informática Básica</v>
      </c>
      <c r="D54" s="2262"/>
      <c r="E54" s="2262"/>
      <c r="F54" s="2262"/>
      <c r="G54" s="2262"/>
      <c r="H54" s="2262"/>
      <c r="I54" s="2262"/>
      <c r="J54" s="2262"/>
      <c r="K54" s="2262"/>
      <c r="L54" s="2262"/>
      <c r="M54" s="1205">
        <v>7717</v>
      </c>
      <c r="N54" s="1205"/>
      <c r="O54" s="936">
        <v>6</v>
      </c>
      <c r="P54" s="1205"/>
      <c r="Q54" s="981" t="str">
        <f>ASIGNATURAS!K265</f>
        <v>Ángel Arroyo</v>
      </c>
      <c r="R54" s="982"/>
      <c r="S54" s="982"/>
      <c r="T54" s="982"/>
      <c r="U54" s="982"/>
      <c r="V54" s="982"/>
      <c r="W54" s="982"/>
      <c r="X54" s="982"/>
      <c r="Y54" s="982"/>
      <c r="Z54" s="982"/>
      <c r="AA54" s="982"/>
      <c r="AB54" s="982"/>
      <c r="AC54" s="982"/>
      <c r="AD54" s="982"/>
      <c r="AE54" s="982"/>
    </row>
    <row r="55" spans="1:31" ht="15" x14ac:dyDescent="0.25">
      <c r="A55" s="2245" t="s">
        <v>921</v>
      </c>
      <c r="B55" s="2246"/>
      <c r="C55" s="2261" t="str">
        <f>ASIGNATURAS!I266</f>
        <v>Física II</v>
      </c>
      <c r="D55" s="2262"/>
      <c r="E55" s="2262"/>
      <c r="F55" s="2262"/>
      <c r="G55" s="2262"/>
      <c r="H55" s="2262"/>
      <c r="I55" s="2262"/>
      <c r="J55" s="2262"/>
      <c r="K55" s="2262"/>
      <c r="L55" s="2262"/>
      <c r="M55" s="1205">
        <v>7718</v>
      </c>
      <c r="N55" s="1205"/>
      <c r="O55" s="936">
        <v>6</v>
      </c>
      <c r="P55" s="1205"/>
      <c r="Q55" s="981" t="str">
        <f>ASIGNATURAS!K266</f>
        <v>Mª Felicidad Bogalo Román</v>
      </c>
      <c r="R55" s="982"/>
      <c r="S55" s="982"/>
      <c r="T55" s="982"/>
      <c r="U55" s="982"/>
      <c r="V55" s="982"/>
      <c r="W55" s="982"/>
      <c r="X55" s="982"/>
      <c r="Y55" s="982"/>
      <c r="Z55" s="982"/>
      <c r="AA55" s="982"/>
      <c r="AB55" s="982"/>
      <c r="AC55" s="982"/>
      <c r="AD55" s="982"/>
      <c r="AE55" s="982"/>
    </row>
    <row r="56" spans="1:31" ht="15" customHeight="1" x14ac:dyDescent="0.25">
      <c r="A56" s="2245" t="s">
        <v>634</v>
      </c>
      <c r="B56" s="2246"/>
      <c r="C56" s="2261" t="str">
        <f>ASIGNATURAS!I267</f>
        <v>Ciencia de Materiales, Estrucutura y Propiedades</v>
      </c>
      <c r="D56" s="2262"/>
      <c r="E56" s="2262"/>
      <c r="F56" s="2262"/>
      <c r="G56" s="2262"/>
      <c r="H56" s="2262"/>
      <c r="I56" s="2262"/>
      <c r="J56" s="2262"/>
      <c r="K56" s="2262"/>
      <c r="L56" s="2262"/>
      <c r="M56" s="1205">
        <v>7719</v>
      </c>
      <c r="N56" s="1205"/>
      <c r="O56" s="936">
        <v>6</v>
      </c>
      <c r="P56" s="1205"/>
      <c r="Q56" s="981" t="str">
        <f>ASIGNATURAS!K267</f>
        <v>Mónica Preciado Calzada, José Ángel Zapatero</v>
      </c>
      <c r="R56" s="982"/>
      <c r="S56" s="982"/>
      <c r="T56" s="982"/>
      <c r="U56" s="982"/>
      <c r="V56" s="982"/>
      <c r="W56" s="982"/>
      <c r="X56" s="982"/>
      <c r="Y56" s="982"/>
      <c r="Z56" s="982"/>
      <c r="AA56" s="982"/>
      <c r="AB56" s="982"/>
      <c r="AC56" s="982"/>
      <c r="AD56" s="982"/>
      <c r="AE56" s="982"/>
    </row>
    <row r="57" spans="1:31" ht="16.5" customHeight="1" x14ac:dyDescent="0.25">
      <c r="A57" s="2245" t="s">
        <v>918</v>
      </c>
      <c r="B57" s="2246"/>
      <c r="C57" s="2261" t="str">
        <f>ASIGNATURAS!I268</f>
        <v>Economía de la Empresa</v>
      </c>
      <c r="D57" s="2262"/>
      <c r="E57" s="2262"/>
      <c r="F57" s="2262"/>
      <c r="G57" s="2262"/>
      <c r="H57" s="2262"/>
      <c r="I57" s="2262"/>
      <c r="J57" s="2262"/>
      <c r="K57" s="2262"/>
      <c r="L57" s="2262"/>
      <c r="M57" s="1205">
        <v>7720</v>
      </c>
      <c r="N57" s="1205"/>
      <c r="O57" s="936">
        <v>6</v>
      </c>
      <c r="P57" s="1205"/>
      <c r="Q57" s="981" t="str">
        <f>ASIGNATURAS!K268</f>
        <v>Mª Teresa Peña Pérez</v>
      </c>
      <c r="R57" s="982"/>
      <c r="S57" s="982"/>
      <c r="T57" s="982"/>
      <c r="U57" s="982"/>
      <c r="V57" s="982"/>
      <c r="W57" s="982"/>
      <c r="X57" s="982"/>
      <c r="Y57" s="982"/>
      <c r="Z57" s="982"/>
      <c r="AA57" s="982"/>
      <c r="AB57" s="982"/>
      <c r="AC57" s="982"/>
      <c r="AD57" s="982"/>
      <c r="AE57" s="982"/>
    </row>
    <row r="58" spans="1:31" ht="15" customHeight="1" x14ac:dyDescent="0.25">
      <c r="A58" s="2245" t="s">
        <v>920</v>
      </c>
      <c r="B58" s="2246"/>
      <c r="C58" s="2261" t="str">
        <f>ASIGNATURAS!I269</f>
        <v>Expresión Gráfica II</v>
      </c>
      <c r="D58" s="2262"/>
      <c r="E58" s="2262"/>
      <c r="F58" s="2262"/>
      <c r="G58" s="2262"/>
      <c r="H58" s="2262"/>
      <c r="I58" s="2262"/>
      <c r="J58" s="2262"/>
      <c r="K58" s="2262"/>
      <c r="L58" s="2262"/>
      <c r="M58" s="1205">
        <v>7721</v>
      </c>
      <c r="N58" s="1205"/>
      <c r="O58" s="936">
        <v>6</v>
      </c>
      <c r="P58" s="1205"/>
      <c r="Q58" s="981" t="str">
        <f>ASIGNATURAS!K269</f>
        <v>Arturo de Roman Miguel, Esteban García Maté</v>
      </c>
      <c r="R58" s="982"/>
      <c r="S58" s="982"/>
      <c r="T58" s="982"/>
      <c r="U58" s="982"/>
      <c r="V58" s="982"/>
      <c r="W58" s="982"/>
      <c r="X58" s="982"/>
      <c r="Y58" s="982"/>
      <c r="Z58" s="982"/>
      <c r="AA58" s="982"/>
      <c r="AB58" s="982"/>
      <c r="AC58" s="982"/>
      <c r="AD58" s="982"/>
      <c r="AE58" s="982"/>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6" t="s">
        <v>627</v>
      </c>
      <c r="B68" s="2297"/>
      <c r="C68" s="2297"/>
      <c r="D68" s="2297"/>
      <c r="E68" s="2297"/>
      <c r="F68" s="2297"/>
      <c r="G68" s="2297"/>
      <c r="H68" s="2297"/>
      <c r="I68" s="2297"/>
      <c r="J68" s="2297"/>
      <c r="K68" s="2297"/>
      <c r="L68" s="2297"/>
      <c r="M68" s="2297"/>
      <c r="N68" s="2297"/>
      <c r="O68" s="2297"/>
      <c r="P68" s="2297"/>
      <c r="Q68" s="2297"/>
      <c r="R68" s="2297"/>
      <c r="S68" s="2297"/>
      <c r="T68" s="2297"/>
      <c r="U68" s="2297"/>
      <c r="V68" s="2297"/>
      <c r="W68" s="2297"/>
      <c r="X68" s="2297"/>
      <c r="Y68" s="2298"/>
      <c r="Z68" s="2254" t="str">
        <f>Aulas!G5</f>
        <v>Curso 2024-2025</v>
      </c>
      <c r="AA68" s="2254"/>
      <c r="AB68" s="2254"/>
      <c r="AC68" s="2254"/>
      <c r="AD68" s="2254"/>
      <c r="AE68" s="2255"/>
    </row>
    <row r="69" spans="1:34" s="8" customFormat="1" ht="23.25" customHeight="1" x14ac:dyDescent="0.4">
      <c r="A69" s="2291" t="s">
        <v>1019</v>
      </c>
      <c r="B69" s="2292"/>
      <c r="C69" s="2292"/>
      <c r="D69" s="2292"/>
      <c r="E69" s="2292"/>
      <c r="F69" s="2292"/>
      <c r="G69" s="2292"/>
      <c r="H69" s="2292"/>
      <c r="I69" s="2292"/>
      <c r="J69" s="2292"/>
      <c r="K69" s="2292"/>
      <c r="L69" s="2292"/>
      <c r="M69" s="2292"/>
      <c r="N69" s="2292"/>
      <c r="O69" s="2292"/>
      <c r="P69" s="2292"/>
      <c r="Q69" s="2292"/>
      <c r="R69" s="2292"/>
      <c r="S69" s="2292"/>
      <c r="T69" s="2292"/>
      <c r="U69" s="2292"/>
      <c r="V69" s="2292"/>
      <c r="W69" s="2292"/>
      <c r="X69" s="2292"/>
      <c r="Y69" s="2293"/>
      <c r="Z69" s="2279" t="s">
        <v>157</v>
      </c>
      <c r="AA69" s="2279"/>
      <c r="AB69" s="2279"/>
      <c r="AC69" s="2279"/>
      <c r="AD69" s="2279"/>
      <c r="AE69" s="2280"/>
    </row>
    <row r="70" spans="1:34" s="8" customFormat="1" ht="23.25" customHeight="1" x14ac:dyDescent="0.4">
      <c r="A70" s="2264" t="s">
        <v>138</v>
      </c>
      <c r="B70" s="2265"/>
      <c r="C70" s="2265"/>
      <c r="D70" s="2265"/>
      <c r="E70" s="2265"/>
      <c r="F70" s="2265"/>
      <c r="G70" s="2265"/>
      <c r="H70" s="2265"/>
      <c r="I70" s="2265"/>
      <c r="J70" s="2265"/>
      <c r="K70" s="2265"/>
      <c r="L70" s="2265"/>
      <c r="M70" s="2265"/>
      <c r="N70" s="2265"/>
      <c r="O70" s="2265"/>
      <c r="P70" s="2265"/>
      <c r="Q70" s="2265"/>
      <c r="R70" s="2265"/>
      <c r="S70" s="2265"/>
      <c r="T70" s="2265"/>
      <c r="U70" s="2265"/>
      <c r="V70" s="2265"/>
      <c r="W70" s="2265"/>
      <c r="X70" s="2265"/>
      <c r="Y70" s="2266"/>
      <c r="Z70" s="2281"/>
      <c r="AA70" s="2281"/>
      <c r="AB70" s="2281"/>
      <c r="AC70" s="2281"/>
      <c r="AD70" s="2281"/>
      <c r="AE70" s="2282"/>
    </row>
    <row r="71" spans="1:34" ht="38.25" customHeight="1" x14ac:dyDescent="0.25">
      <c r="A71" s="23" t="s">
        <v>691</v>
      </c>
    </row>
    <row r="72" spans="1:34" s="2" customFormat="1" ht="24" customHeight="1" thickBot="1" x14ac:dyDescent="0.3">
      <c r="A72" s="165" t="s">
        <v>1</v>
      </c>
      <c r="B72" s="2254" t="s">
        <v>2</v>
      </c>
      <c r="C72" s="2254"/>
      <c r="D72" s="2254"/>
      <c r="E72" s="2254"/>
      <c r="F72" s="2254"/>
      <c r="G72" s="2255"/>
      <c r="H72" s="2254" t="s">
        <v>3</v>
      </c>
      <c r="I72" s="2254"/>
      <c r="J72" s="2254"/>
      <c r="K72" s="2254"/>
      <c r="L72" s="2254"/>
      <c r="M72" s="2255"/>
      <c r="N72" s="2254" t="s">
        <v>135</v>
      </c>
      <c r="O72" s="2254"/>
      <c r="P72" s="2254"/>
      <c r="Q72" s="2254"/>
      <c r="R72" s="2254"/>
      <c r="S72" s="2255"/>
      <c r="T72" s="2254" t="s">
        <v>4</v>
      </c>
      <c r="U72" s="2254"/>
      <c r="V72" s="2254"/>
      <c r="W72" s="2254"/>
      <c r="X72" s="2254"/>
      <c r="Y72" s="2255"/>
      <c r="Z72" s="2254" t="s">
        <v>5</v>
      </c>
      <c r="AA72" s="2254"/>
      <c r="AB72" s="2254"/>
      <c r="AC72" s="2254"/>
      <c r="AD72" s="2254"/>
      <c r="AE72" s="2255"/>
    </row>
    <row r="73" spans="1:34" ht="30" customHeight="1" x14ac:dyDescent="0.3">
      <c r="A73" s="1128" t="s">
        <v>10</v>
      </c>
      <c r="B73" s="999"/>
      <c r="C73" s="999"/>
      <c r="D73" s="999"/>
      <c r="E73" s="999"/>
      <c r="F73" s="999"/>
      <c r="G73" s="1110"/>
      <c r="H73" s="995" t="s">
        <v>28</v>
      </c>
      <c r="I73" s="995"/>
      <c r="J73" s="995"/>
      <c r="K73" s="995"/>
      <c r="L73" s="995"/>
      <c r="M73" s="2253"/>
      <c r="N73" s="999"/>
      <c r="O73" s="999"/>
      <c r="P73" s="999"/>
      <c r="Q73" s="999"/>
      <c r="R73" s="999"/>
      <c r="S73" s="1110"/>
      <c r="T73" s="995" t="s">
        <v>28</v>
      </c>
      <c r="U73" s="995"/>
      <c r="V73" s="995"/>
      <c r="W73" s="995"/>
      <c r="X73" s="995"/>
      <c r="Y73" s="2253"/>
      <c r="Z73" s="995" t="s">
        <v>116</v>
      </c>
      <c r="AA73" s="995"/>
      <c r="AB73" s="995"/>
      <c r="AC73" s="995"/>
      <c r="AD73" s="995"/>
      <c r="AE73" s="2253"/>
      <c r="AH73" s="405"/>
    </row>
    <row r="74" spans="1:34" ht="30" customHeight="1" x14ac:dyDescent="0.25">
      <c r="A74" s="1105"/>
      <c r="B74" s="965"/>
      <c r="C74" s="965"/>
      <c r="D74" s="965"/>
      <c r="E74" s="965"/>
      <c r="F74" s="965"/>
      <c r="G74" s="1086"/>
      <c r="H74" s="952" t="s">
        <v>157</v>
      </c>
      <c r="I74" s="952"/>
      <c r="J74" s="952"/>
      <c r="K74" s="952"/>
      <c r="L74" s="952"/>
      <c r="M74" s="1047"/>
      <c r="N74" s="965"/>
      <c r="O74" s="965"/>
      <c r="P74" s="965"/>
      <c r="Q74" s="965"/>
      <c r="R74" s="965"/>
      <c r="S74" s="1086"/>
      <c r="T74" s="952" t="s">
        <v>157</v>
      </c>
      <c r="U74" s="952"/>
      <c r="V74" s="952"/>
      <c r="W74" s="952"/>
      <c r="X74" s="952"/>
      <c r="Y74" s="1047"/>
      <c r="Z74" s="952" t="s">
        <v>157</v>
      </c>
      <c r="AA74" s="952"/>
      <c r="AB74" s="952"/>
      <c r="AC74" s="952"/>
      <c r="AD74" s="952"/>
      <c r="AE74" s="1047"/>
    </row>
    <row r="75" spans="1:34" ht="30" customHeight="1" x14ac:dyDescent="0.3">
      <c r="A75" s="1100" t="s">
        <v>981</v>
      </c>
      <c r="B75" s="995" t="s">
        <v>1327</v>
      </c>
      <c r="C75" s="995"/>
      <c r="D75" s="995"/>
      <c r="E75" s="995"/>
      <c r="F75" s="995"/>
      <c r="G75" s="2253"/>
      <c r="H75" s="995" t="s">
        <v>1327</v>
      </c>
      <c r="I75" s="995"/>
      <c r="J75" s="995"/>
      <c r="K75" s="995"/>
      <c r="L75" s="995"/>
      <c r="M75" s="2253"/>
      <c r="N75" s="999"/>
      <c r="O75" s="999"/>
      <c r="P75" s="999"/>
      <c r="Q75" s="999"/>
      <c r="R75" s="999"/>
      <c r="S75" s="1110"/>
      <c r="T75" s="1096" t="s">
        <v>28</v>
      </c>
      <c r="U75" s="1096"/>
      <c r="V75" s="1096"/>
      <c r="W75" s="1096"/>
      <c r="X75" s="1096"/>
      <c r="Y75" s="2256"/>
      <c r="Z75" s="2326" t="s">
        <v>1309</v>
      </c>
      <c r="AA75" s="2326"/>
      <c r="AB75" s="2326"/>
      <c r="AC75" s="2326"/>
      <c r="AD75" s="2326"/>
      <c r="AE75" s="2327"/>
    </row>
    <row r="76" spans="1:34" ht="30" customHeight="1" x14ac:dyDescent="0.25">
      <c r="A76" s="1105"/>
      <c r="B76" s="952" t="s">
        <v>157</v>
      </c>
      <c r="C76" s="952"/>
      <c r="D76" s="952"/>
      <c r="E76" s="952"/>
      <c r="F76" s="952"/>
      <c r="G76" s="1047"/>
      <c r="H76" s="952" t="s">
        <v>157</v>
      </c>
      <c r="I76" s="952"/>
      <c r="J76" s="952"/>
      <c r="K76" s="952"/>
      <c r="L76" s="952"/>
      <c r="M76" s="1047"/>
      <c r="N76" s="965"/>
      <c r="O76" s="965"/>
      <c r="P76" s="965"/>
      <c r="Q76" s="965"/>
      <c r="R76" s="965"/>
      <c r="S76" s="1086"/>
      <c r="T76" s="1073" t="s">
        <v>159</v>
      </c>
      <c r="U76" s="1073"/>
      <c r="V76" s="1073"/>
      <c r="W76" s="1073"/>
      <c r="X76" s="1073"/>
      <c r="Y76" s="2250"/>
      <c r="Z76" s="2330" t="s">
        <v>1299</v>
      </c>
      <c r="AA76" s="2330"/>
      <c r="AB76" s="2330"/>
      <c r="AC76" s="2330"/>
      <c r="AD76" s="2330"/>
      <c r="AE76" s="2331"/>
    </row>
    <row r="77" spans="1:34" ht="30" customHeight="1" x14ac:dyDescent="0.3">
      <c r="A77" s="1100" t="s">
        <v>982</v>
      </c>
      <c r="B77" s="1096" t="s">
        <v>1327</v>
      </c>
      <c r="C77" s="1096"/>
      <c r="D77" s="1096"/>
      <c r="E77" s="1096"/>
      <c r="F77" s="1096"/>
      <c r="G77" s="2256"/>
      <c r="H77" s="995" t="s">
        <v>116</v>
      </c>
      <c r="I77" s="995"/>
      <c r="J77" s="995"/>
      <c r="K77" s="995"/>
      <c r="L77" s="995"/>
      <c r="M77" s="2253"/>
      <c r="N77" s="999"/>
      <c r="O77" s="999"/>
      <c r="P77" s="999"/>
      <c r="Q77" s="999"/>
      <c r="R77" s="999"/>
      <c r="S77" s="1110"/>
      <c r="T77" s="1096" t="s">
        <v>28</v>
      </c>
      <c r="U77" s="1096"/>
      <c r="V77" s="1096"/>
      <c r="W77" s="1096"/>
      <c r="X77" s="1096"/>
      <c r="Y77" s="2256"/>
      <c r="Z77" s="2326" t="s">
        <v>1309</v>
      </c>
      <c r="AA77" s="2326"/>
      <c r="AB77" s="2326"/>
      <c r="AC77" s="2326"/>
      <c r="AD77" s="2326"/>
      <c r="AE77" s="2327"/>
    </row>
    <row r="78" spans="1:34" ht="30" customHeight="1" x14ac:dyDescent="0.25">
      <c r="A78" s="1105"/>
      <c r="B78" s="1073" t="s">
        <v>1334</v>
      </c>
      <c r="C78" s="1073"/>
      <c r="D78" s="1073"/>
      <c r="E78" s="1073"/>
      <c r="F78" s="1073"/>
      <c r="G78" s="2250"/>
      <c r="H78" s="952" t="s">
        <v>157</v>
      </c>
      <c r="I78" s="952"/>
      <c r="J78" s="952"/>
      <c r="K78" s="952"/>
      <c r="L78" s="952"/>
      <c r="M78" s="1047"/>
      <c r="N78" s="965"/>
      <c r="O78" s="965"/>
      <c r="P78" s="965"/>
      <c r="Q78" s="965"/>
      <c r="R78" s="965"/>
      <c r="S78" s="1086"/>
      <c r="T78" s="1073" t="s">
        <v>159</v>
      </c>
      <c r="U78" s="1073"/>
      <c r="V78" s="1073"/>
      <c r="W78" s="1073"/>
      <c r="X78" s="1073"/>
      <c r="Y78" s="2250"/>
      <c r="Z78" s="2330" t="s">
        <v>1299</v>
      </c>
      <c r="AA78" s="2330"/>
      <c r="AB78" s="2330"/>
      <c r="AC78" s="2330"/>
      <c r="AD78" s="2330"/>
      <c r="AE78" s="2331"/>
    </row>
    <row r="79" spans="1:34" ht="30" customHeight="1" x14ac:dyDescent="0.3">
      <c r="A79" s="1100" t="s">
        <v>7</v>
      </c>
      <c r="B79" s="1096" t="s">
        <v>1327</v>
      </c>
      <c r="C79" s="1096"/>
      <c r="D79" s="1096"/>
      <c r="E79" s="1096"/>
      <c r="F79" s="1096"/>
      <c r="G79" s="2256"/>
      <c r="H79" s="995" t="s">
        <v>1309</v>
      </c>
      <c r="I79" s="995"/>
      <c r="J79" s="995"/>
      <c r="K79" s="995"/>
      <c r="L79" s="995"/>
      <c r="M79" s="2253"/>
      <c r="N79" s="995" t="s">
        <v>617</v>
      </c>
      <c r="O79" s="995"/>
      <c r="P79" s="995"/>
      <c r="Q79" s="995"/>
      <c r="R79" s="995"/>
      <c r="S79" s="2253"/>
      <c r="T79" s="999"/>
      <c r="U79" s="999"/>
      <c r="V79" s="999"/>
      <c r="W79" s="999"/>
      <c r="X79" s="999"/>
      <c r="Y79" s="1110"/>
      <c r="Z79" s="1096" t="s">
        <v>116</v>
      </c>
      <c r="AA79" s="1096"/>
      <c r="AB79" s="1096"/>
      <c r="AC79" s="1096"/>
      <c r="AD79" s="1096"/>
      <c r="AE79" s="2256"/>
    </row>
    <row r="80" spans="1:34" ht="30" customHeight="1" x14ac:dyDescent="0.25">
      <c r="A80" s="1105"/>
      <c r="B80" s="1073" t="s">
        <v>1334</v>
      </c>
      <c r="C80" s="1073"/>
      <c r="D80" s="1073"/>
      <c r="E80" s="1073"/>
      <c r="F80" s="1073"/>
      <c r="G80" s="2250"/>
      <c r="H80" s="952" t="s">
        <v>157</v>
      </c>
      <c r="I80" s="952"/>
      <c r="J80" s="952"/>
      <c r="K80" s="952"/>
      <c r="L80" s="952"/>
      <c r="M80" s="1047"/>
      <c r="N80" s="952" t="s">
        <v>157</v>
      </c>
      <c r="O80" s="952"/>
      <c r="P80" s="952"/>
      <c r="Q80" s="952"/>
      <c r="R80" s="952"/>
      <c r="S80" s="1047"/>
      <c r="T80" s="965"/>
      <c r="U80" s="965"/>
      <c r="V80" s="965"/>
      <c r="W80" s="965"/>
      <c r="X80" s="965"/>
      <c r="Y80" s="1086"/>
      <c r="Z80" s="1073" t="s">
        <v>477</v>
      </c>
      <c r="AA80" s="1073"/>
      <c r="AB80" s="1073"/>
      <c r="AC80" s="1073"/>
      <c r="AD80" s="1073"/>
      <c r="AE80" s="2250"/>
    </row>
    <row r="81" spans="1:34" ht="30" customHeight="1" x14ac:dyDescent="0.3">
      <c r="A81" s="1100" t="s">
        <v>8</v>
      </c>
      <c r="B81" s="995" t="s">
        <v>1309</v>
      </c>
      <c r="C81" s="995"/>
      <c r="D81" s="995"/>
      <c r="E81" s="995"/>
      <c r="F81" s="995"/>
      <c r="G81" s="2253"/>
      <c r="H81" s="2324" t="s">
        <v>1309</v>
      </c>
      <c r="I81" s="2324"/>
      <c r="J81" s="2324"/>
      <c r="K81" s="2324"/>
      <c r="L81" s="2324"/>
      <c r="M81" s="2325"/>
      <c r="N81" s="1096" t="s">
        <v>617</v>
      </c>
      <c r="O81" s="1096"/>
      <c r="P81" s="1096"/>
      <c r="Q81" s="1096"/>
      <c r="R81" s="1096"/>
      <c r="S81" s="2256"/>
      <c r="T81" s="999"/>
      <c r="U81" s="999"/>
      <c r="V81" s="999"/>
      <c r="W81" s="999"/>
      <c r="X81" s="999"/>
      <c r="Y81" s="1110"/>
      <c r="Z81" s="1096" t="s">
        <v>116</v>
      </c>
      <c r="AA81" s="1096"/>
      <c r="AB81" s="1096"/>
      <c r="AC81" s="1096"/>
      <c r="AD81" s="1096"/>
      <c r="AE81" s="2256"/>
    </row>
    <row r="82" spans="1:34" ht="30" customHeight="1" x14ac:dyDescent="0.25">
      <c r="A82" s="1105"/>
      <c r="B82" s="952" t="s">
        <v>157</v>
      </c>
      <c r="C82" s="952"/>
      <c r="D82" s="952"/>
      <c r="E82" s="952"/>
      <c r="F82" s="952"/>
      <c r="G82" s="1047"/>
      <c r="H82" s="2328" t="s">
        <v>1299</v>
      </c>
      <c r="I82" s="2328"/>
      <c r="J82" s="2328"/>
      <c r="K82" s="2328"/>
      <c r="L82" s="2328"/>
      <c r="M82" s="2329"/>
      <c r="N82" s="1109" t="s">
        <v>1300</v>
      </c>
      <c r="O82" s="1073"/>
      <c r="P82" s="1073"/>
      <c r="Q82" s="1073"/>
      <c r="R82" s="1073"/>
      <c r="S82" s="2250"/>
      <c r="T82" s="965"/>
      <c r="U82" s="965"/>
      <c r="V82" s="965"/>
      <c r="W82" s="965"/>
      <c r="X82" s="965"/>
      <c r="Y82" s="1086"/>
      <c r="Z82" s="1073" t="s">
        <v>477</v>
      </c>
      <c r="AA82" s="1073"/>
      <c r="AB82" s="1073"/>
      <c r="AC82" s="1073"/>
      <c r="AD82" s="1073"/>
      <c r="AE82" s="2250"/>
    </row>
    <row r="83" spans="1:34" ht="30" customHeight="1" x14ac:dyDescent="0.3">
      <c r="A83" s="1100" t="s">
        <v>9</v>
      </c>
      <c r="B83" s="995" t="s">
        <v>617</v>
      </c>
      <c r="C83" s="995"/>
      <c r="D83" s="995"/>
      <c r="E83" s="995"/>
      <c r="F83" s="995"/>
      <c r="G83" s="2253"/>
      <c r="H83" s="2324" t="s">
        <v>1309</v>
      </c>
      <c r="I83" s="2324"/>
      <c r="J83" s="2324"/>
      <c r="K83" s="2324"/>
      <c r="L83" s="2324"/>
      <c r="M83" s="2325"/>
      <c r="N83" s="1096" t="s">
        <v>617</v>
      </c>
      <c r="O83" s="1096"/>
      <c r="P83" s="1096"/>
      <c r="Q83" s="1096"/>
      <c r="R83" s="1096"/>
      <c r="S83" s="2256"/>
      <c r="T83" s="999"/>
      <c r="U83" s="999"/>
      <c r="V83" s="999"/>
      <c r="W83" s="999"/>
      <c r="X83" s="999"/>
      <c r="Y83" s="1110"/>
      <c r="Z83" s="999"/>
      <c r="AA83" s="999"/>
      <c r="AB83" s="999"/>
      <c r="AC83" s="999"/>
      <c r="AD83" s="999"/>
      <c r="AE83" s="1110"/>
    </row>
    <row r="84" spans="1:34" ht="30" customHeight="1" x14ac:dyDescent="0.25">
      <c r="A84" s="1105"/>
      <c r="B84" s="952" t="s">
        <v>157</v>
      </c>
      <c r="C84" s="952"/>
      <c r="D84" s="952"/>
      <c r="E84" s="952"/>
      <c r="F84" s="952"/>
      <c r="G84" s="1047"/>
      <c r="H84" s="2328" t="s">
        <v>1299</v>
      </c>
      <c r="I84" s="2328"/>
      <c r="J84" s="2328"/>
      <c r="K84" s="2328"/>
      <c r="L84" s="2328"/>
      <c r="M84" s="2329"/>
      <c r="N84" s="1073" t="s">
        <v>1300</v>
      </c>
      <c r="O84" s="1073"/>
      <c r="P84" s="1073"/>
      <c r="Q84" s="1073"/>
      <c r="R84" s="1073"/>
      <c r="S84" s="2250"/>
      <c r="T84" s="965"/>
      <c r="U84" s="965"/>
      <c r="V84" s="965"/>
      <c r="W84" s="965"/>
      <c r="X84" s="965"/>
      <c r="Y84" s="1086"/>
      <c r="Z84" s="965"/>
      <c r="AA84" s="965"/>
      <c r="AB84" s="965"/>
      <c r="AC84" s="965"/>
      <c r="AD84" s="965"/>
      <c r="AE84" s="1086"/>
    </row>
    <row r="85" spans="1:34" s="2" customFormat="1" ht="24" customHeight="1" thickBot="1" x14ac:dyDescent="0.3">
      <c r="A85" s="165" t="s">
        <v>1</v>
      </c>
      <c r="B85" s="2254" t="s">
        <v>2</v>
      </c>
      <c r="C85" s="2254"/>
      <c r="D85" s="2254"/>
      <c r="E85" s="2254"/>
      <c r="F85" s="2254"/>
      <c r="G85" s="2255"/>
      <c r="H85" s="2254" t="s">
        <v>3</v>
      </c>
      <c r="I85" s="2254"/>
      <c r="J85" s="2254"/>
      <c r="K85" s="2254"/>
      <c r="L85" s="2254"/>
      <c r="M85" s="2255"/>
      <c r="N85" s="2254" t="s">
        <v>135</v>
      </c>
      <c r="O85" s="2254"/>
      <c r="P85" s="2254"/>
      <c r="Q85" s="2254"/>
      <c r="R85" s="2254"/>
      <c r="S85" s="2255"/>
      <c r="T85" s="2254" t="s">
        <v>4</v>
      </c>
      <c r="U85" s="2254"/>
      <c r="V85" s="2254"/>
      <c r="W85" s="2254"/>
      <c r="X85" s="2254"/>
      <c r="Y85" s="2255"/>
      <c r="Z85" s="2254" t="s">
        <v>5</v>
      </c>
      <c r="AA85" s="2254"/>
      <c r="AB85" s="2254"/>
      <c r="AC85" s="2254"/>
      <c r="AD85" s="2254"/>
      <c r="AE85" s="2255"/>
    </row>
    <row r="86" spans="1:34" ht="30" customHeight="1" x14ac:dyDescent="0.3">
      <c r="A86" s="1128" t="s">
        <v>182</v>
      </c>
      <c r="B86" s="999"/>
      <c r="C86" s="999"/>
      <c r="D86" s="999"/>
      <c r="E86" s="999"/>
      <c r="F86" s="999"/>
      <c r="G86" s="1110"/>
      <c r="H86" s="995" t="s">
        <v>1203</v>
      </c>
      <c r="I86" s="995"/>
      <c r="J86" s="995"/>
      <c r="K86" s="995"/>
      <c r="L86" s="995"/>
      <c r="M86" s="2253"/>
      <c r="N86" s="999"/>
      <c r="O86" s="999"/>
      <c r="P86" s="999"/>
      <c r="Q86" s="999"/>
      <c r="R86" s="999"/>
      <c r="S86" s="1110"/>
      <c r="T86" s="1096" t="s">
        <v>1203</v>
      </c>
      <c r="U86" s="1096"/>
      <c r="V86" s="1096"/>
      <c r="W86" s="1096"/>
      <c r="X86" s="1096"/>
      <c r="Y86" s="2256"/>
      <c r="Z86" s="999"/>
      <c r="AA86" s="999"/>
      <c r="AB86" s="999"/>
      <c r="AC86" s="999"/>
      <c r="AD86" s="999"/>
      <c r="AE86" s="1110"/>
      <c r="AH86" s="405"/>
    </row>
    <row r="87" spans="1:34" ht="30" customHeight="1" x14ac:dyDescent="0.25">
      <c r="A87" s="1105"/>
      <c r="B87" s="965"/>
      <c r="C87" s="965"/>
      <c r="D87" s="965"/>
      <c r="E87" s="965"/>
      <c r="F87" s="965"/>
      <c r="G87" s="1086"/>
      <c r="H87" s="952" t="s">
        <v>152</v>
      </c>
      <c r="I87" s="952"/>
      <c r="J87" s="952"/>
      <c r="K87" s="952"/>
      <c r="L87" s="952"/>
      <c r="M87" s="1047"/>
      <c r="N87" s="965"/>
      <c r="O87" s="965"/>
      <c r="P87" s="965"/>
      <c r="Q87" s="965"/>
      <c r="R87" s="965"/>
      <c r="S87" s="1086"/>
      <c r="T87" s="1073" t="s">
        <v>145</v>
      </c>
      <c r="U87" s="1073"/>
      <c r="V87" s="1073"/>
      <c r="W87" s="1073"/>
      <c r="X87" s="1073"/>
      <c r="Y87" s="2250"/>
      <c r="Z87" s="965"/>
      <c r="AA87" s="965"/>
      <c r="AB87" s="965"/>
      <c r="AC87" s="965"/>
      <c r="AD87" s="965"/>
      <c r="AE87" s="1086"/>
    </row>
    <row r="88" spans="1:34" ht="30" customHeight="1" x14ac:dyDescent="0.3">
      <c r="A88" s="1100" t="s">
        <v>184</v>
      </c>
      <c r="B88" s="999"/>
      <c r="C88" s="999"/>
      <c r="D88" s="999"/>
      <c r="E88" s="999"/>
      <c r="F88" s="999"/>
      <c r="G88" s="1110"/>
      <c r="H88" s="995" t="s">
        <v>1203</v>
      </c>
      <c r="I88" s="995"/>
      <c r="J88" s="995"/>
      <c r="K88" s="995"/>
      <c r="L88" s="995"/>
      <c r="M88" s="2253"/>
      <c r="N88" s="999"/>
      <c r="O88" s="999"/>
      <c r="P88" s="999"/>
      <c r="Q88" s="999"/>
      <c r="R88" s="999"/>
      <c r="S88" s="1110"/>
      <c r="T88" s="1096" t="s">
        <v>1203</v>
      </c>
      <c r="U88" s="1096"/>
      <c r="V88" s="1096"/>
      <c r="W88" s="1096"/>
      <c r="X88" s="1096"/>
      <c r="Y88" s="2256"/>
      <c r="Z88" s="999"/>
      <c r="AA88" s="999"/>
      <c r="AB88" s="999"/>
      <c r="AC88" s="999"/>
      <c r="AD88" s="999"/>
      <c r="AE88" s="1110"/>
    </row>
    <row r="89" spans="1:34" ht="30" customHeight="1" x14ac:dyDescent="0.25">
      <c r="A89" s="1105"/>
      <c r="B89" s="965"/>
      <c r="C89" s="965"/>
      <c r="D89" s="965"/>
      <c r="E89" s="965"/>
      <c r="F89" s="965"/>
      <c r="G89" s="1086"/>
      <c r="H89" s="952" t="s">
        <v>152</v>
      </c>
      <c r="I89" s="952"/>
      <c r="J89" s="952"/>
      <c r="K89" s="952"/>
      <c r="L89" s="952"/>
      <c r="M89" s="1047"/>
      <c r="N89" s="965"/>
      <c r="O89" s="965"/>
      <c r="P89" s="965"/>
      <c r="Q89" s="965"/>
      <c r="R89" s="965"/>
      <c r="S89" s="1086"/>
      <c r="T89" s="1073" t="s">
        <v>145</v>
      </c>
      <c r="U89" s="1073"/>
      <c r="V89" s="1073"/>
      <c r="W89" s="1073"/>
      <c r="X89" s="1073"/>
      <c r="Y89" s="2250"/>
      <c r="Z89" s="965"/>
      <c r="AA89" s="965"/>
      <c r="AB89" s="965"/>
      <c r="AC89" s="965"/>
      <c r="AD89" s="965"/>
      <c r="AE89" s="1086"/>
    </row>
    <row r="91" spans="1:34" ht="15" x14ac:dyDescent="0.25">
      <c r="A91" s="731" t="s">
        <v>214</v>
      </c>
      <c r="B91" s="732"/>
      <c r="C91" s="2271" t="s">
        <v>215</v>
      </c>
      <c r="D91" s="2272"/>
      <c r="E91" s="2272"/>
      <c r="F91" s="2272"/>
      <c r="G91" s="2272"/>
      <c r="H91" s="2272"/>
      <c r="I91" s="2272"/>
      <c r="J91" s="2272"/>
      <c r="K91" s="2272"/>
      <c r="L91" s="166"/>
      <c r="M91" s="2273" t="s">
        <v>618</v>
      </c>
      <c r="N91" s="2268"/>
      <c r="O91" s="2271" t="s">
        <v>139</v>
      </c>
      <c r="P91" s="2274"/>
      <c r="Q91" s="2271" t="s">
        <v>163</v>
      </c>
      <c r="R91" s="2272"/>
      <c r="S91" s="2272"/>
      <c r="T91" s="2272"/>
      <c r="U91" s="2272"/>
      <c r="V91" s="2272"/>
      <c r="W91" s="2272"/>
      <c r="X91" s="2272"/>
      <c r="Y91" s="2272"/>
      <c r="Z91" s="2272"/>
      <c r="AA91" s="2272"/>
      <c r="AB91" s="2272"/>
      <c r="AC91" s="2272"/>
      <c r="AD91" s="2272"/>
      <c r="AE91" s="2274"/>
    </row>
    <row r="92" spans="1:34" ht="15" customHeight="1" x14ac:dyDescent="0.25">
      <c r="A92" s="2245" t="s">
        <v>617</v>
      </c>
      <c r="B92" s="2246"/>
      <c r="C92" s="2006" t="str">
        <f>ASIGNATURAS!I270</f>
        <v>Ingeniería Térmica I</v>
      </c>
      <c r="D92" s="1177"/>
      <c r="E92" s="1177"/>
      <c r="F92" s="1177"/>
      <c r="G92" s="1177"/>
      <c r="H92" s="1177"/>
      <c r="I92" s="1177"/>
      <c r="J92" s="1177"/>
      <c r="K92" s="1177"/>
      <c r="L92" s="981"/>
      <c r="M92" s="2145">
        <v>7722</v>
      </c>
      <c r="N92" s="936"/>
      <c r="O92" s="2145">
        <v>6</v>
      </c>
      <c r="P92" s="936"/>
      <c r="Q92" s="2006" t="str">
        <f>ASIGNATURAS!K270</f>
        <v>Cristina Alonso Tristán</v>
      </c>
      <c r="R92" s="1177"/>
      <c r="S92" s="1177"/>
      <c r="T92" s="1177"/>
      <c r="U92" s="1177"/>
      <c r="V92" s="1177"/>
      <c r="W92" s="1177"/>
      <c r="X92" s="1177"/>
      <c r="Y92" s="1177"/>
      <c r="Z92" s="1177"/>
      <c r="AA92" s="1177"/>
      <c r="AB92" s="1177"/>
      <c r="AC92" s="1177"/>
      <c r="AD92" s="1177"/>
      <c r="AE92" s="981"/>
    </row>
    <row r="93" spans="1:34" ht="15" customHeight="1" x14ac:dyDescent="0.25">
      <c r="A93" s="2245" t="s">
        <v>927</v>
      </c>
      <c r="B93" s="2246"/>
      <c r="C93" s="2006" t="str">
        <f>ASIGNATURAS!I271</f>
        <v>Fundamentos de Ingeniería Eléctrica</v>
      </c>
      <c r="D93" s="1177"/>
      <c r="E93" s="1177"/>
      <c r="F93" s="1177"/>
      <c r="G93" s="1177"/>
      <c r="H93" s="1177"/>
      <c r="I93" s="1177"/>
      <c r="J93" s="1177"/>
      <c r="K93" s="1177"/>
      <c r="L93" s="981"/>
      <c r="M93" s="2145">
        <v>7723</v>
      </c>
      <c r="N93" s="936"/>
      <c r="O93" s="2145">
        <v>6</v>
      </c>
      <c r="P93" s="936"/>
      <c r="Q93" s="2006" t="str">
        <f>ASIGNATURAS!K271</f>
        <v>Jesús Sagredo González</v>
      </c>
      <c r="R93" s="1177"/>
      <c r="S93" s="1177"/>
      <c r="T93" s="1177"/>
      <c r="U93" s="1177"/>
      <c r="V93" s="1177"/>
      <c r="W93" s="1177"/>
      <c r="X93" s="1177"/>
      <c r="Y93" s="1177"/>
      <c r="Z93" s="1177"/>
      <c r="AA93" s="1177"/>
      <c r="AB93" s="1177"/>
      <c r="AC93" s="1177"/>
      <c r="AD93" s="1177"/>
      <c r="AE93" s="981"/>
    </row>
    <row r="94" spans="1:34" ht="15" customHeight="1" x14ac:dyDescent="0.25">
      <c r="A94" s="2245" t="s">
        <v>648</v>
      </c>
      <c r="B94" s="2246"/>
      <c r="C94" s="2006" t="str">
        <f>ASIGNATURAS!I272</f>
        <v>Elasticidad y Resistencia de Materiales</v>
      </c>
      <c r="D94" s="1177"/>
      <c r="E94" s="1177"/>
      <c r="F94" s="1177"/>
      <c r="G94" s="1177"/>
      <c r="H94" s="1177"/>
      <c r="I94" s="1177"/>
      <c r="J94" s="1177"/>
      <c r="K94" s="1177"/>
      <c r="L94" s="981"/>
      <c r="M94" s="2145">
        <v>7724</v>
      </c>
      <c r="N94" s="936"/>
      <c r="O94" s="2145">
        <v>6</v>
      </c>
      <c r="P94" s="936"/>
      <c r="Q94" s="2006" t="str">
        <f>ASIGNATURAS!K272</f>
        <v xml:space="preserve">Isidoro Ivan Cuesta </v>
      </c>
      <c r="R94" s="1177"/>
      <c r="S94" s="1177"/>
      <c r="T94" s="1177"/>
      <c r="U94" s="1177"/>
      <c r="V94" s="1177"/>
      <c r="W94" s="1177"/>
      <c r="X94" s="1177"/>
      <c r="Y94" s="1177"/>
      <c r="Z94" s="1177"/>
      <c r="AA94" s="1177"/>
      <c r="AB94" s="1177"/>
      <c r="AC94" s="1177"/>
      <c r="AD94" s="1177"/>
      <c r="AE94" s="981"/>
    </row>
    <row r="95" spans="1:34" ht="15" customHeight="1" x14ac:dyDescent="0.25">
      <c r="A95" s="2245" t="s">
        <v>1203</v>
      </c>
      <c r="B95" s="2246"/>
      <c r="C95" s="2006" t="str">
        <f>ASIGNATURAS!I273</f>
        <v>Estadística y Cálculo Numérico</v>
      </c>
      <c r="D95" s="1177"/>
      <c r="E95" s="1177"/>
      <c r="F95" s="1177"/>
      <c r="G95" s="1177"/>
      <c r="H95" s="1177"/>
      <c r="I95" s="1177"/>
      <c r="J95" s="1177"/>
      <c r="K95" s="1177"/>
      <c r="L95" s="981"/>
      <c r="M95" s="1205">
        <v>7725</v>
      </c>
      <c r="N95" s="1205"/>
      <c r="O95" s="936">
        <v>6</v>
      </c>
      <c r="P95" s="1205"/>
      <c r="Q95" s="981" t="str">
        <f>ASIGNATURAS!K273</f>
        <v/>
      </c>
      <c r="R95" s="982"/>
      <c r="S95" s="982"/>
      <c r="T95" s="982"/>
      <c r="U95" s="982"/>
      <c r="V95" s="982"/>
      <c r="W95" s="982"/>
      <c r="X95" s="982"/>
      <c r="Y95" s="982"/>
      <c r="Z95" s="982"/>
      <c r="AA95" s="982"/>
      <c r="AB95" s="982"/>
      <c r="AC95" s="982"/>
      <c r="AD95" s="982"/>
      <c r="AE95" s="982"/>
    </row>
    <row r="96" spans="1:34" ht="15" customHeight="1" x14ac:dyDescent="0.25">
      <c r="A96" s="2245" t="s">
        <v>628</v>
      </c>
      <c r="B96" s="2246"/>
      <c r="C96" s="2006" t="str">
        <f>ASIGNATURAS!I274</f>
        <v>Organización de la Producción</v>
      </c>
      <c r="D96" s="1177"/>
      <c r="E96" s="1177"/>
      <c r="F96" s="1177"/>
      <c r="G96" s="1177"/>
      <c r="H96" s="1177"/>
      <c r="I96" s="1177"/>
      <c r="J96" s="1177"/>
      <c r="K96" s="1177"/>
      <c r="L96" s="981"/>
      <c r="M96" s="1205">
        <v>7726</v>
      </c>
      <c r="N96" s="1205"/>
      <c r="O96" s="936">
        <v>6</v>
      </c>
      <c r="P96" s="1205"/>
      <c r="Q96" s="981" t="str">
        <f>ASIGNATURAS!K274</f>
        <v>Miguel Angel Manzanedo, Ricardo del Olmo, Oscar González</v>
      </c>
      <c r="R96" s="982"/>
      <c r="S96" s="982"/>
      <c r="T96" s="982"/>
      <c r="U96" s="982"/>
      <c r="V96" s="982"/>
      <c r="W96" s="982"/>
      <c r="X96" s="982"/>
      <c r="Y96" s="982"/>
      <c r="Z96" s="982"/>
      <c r="AA96" s="982"/>
      <c r="AB96" s="982"/>
      <c r="AC96" s="982"/>
      <c r="AD96" s="982"/>
      <c r="AE96" s="982"/>
    </row>
    <row r="97" spans="1:31" ht="15" customHeight="1" x14ac:dyDescent="0.25">
      <c r="A97" s="2245" t="s">
        <v>116</v>
      </c>
      <c r="B97" s="2246"/>
      <c r="C97" s="2006" t="str">
        <f>ASIGNATURAS!I275</f>
        <v>Energías Renovables y Medio Ambiente</v>
      </c>
      <c r="D97" s="1177"/>
      <c r="E97" s="1177"/>
      <c r="F97" s="1177"/>
      <c r="G97" s="1177"/>
      <c r="H97" s="1177"/>
      <c r="I97" s="1177"/>
      <c r="J97" s="1177"/>
      <c r="K97" s="1177"/>
      <c r="L97" s="981"/>
      <c r="M97" s="1205">
        <v>7727</v>
      </c>
      <c r="N97" s="1205"/>
      <c r="O97" s="936">
        <v>6</v>
      </c>
      <c r="P97" s="1205"/>
      <c r="Q97" s="981" t="str">
        <f>ASIGNATURAS!K275</f>
        <v>Manuel Iván González, Fco Javier Rodríguez</v>
      </c>
      <c r="R97" s="982"/>
      <c r="S97" s="982"/>
      <c r="T97" s="982"/>
      <c r="U97" s="982"/>
      <c r="V97" s="982"/>
      <c r="W97" s="982"/>
      <c r="X97" s="982"/>
      <c r="Y97" s="982"/>
      <c r="Z97" s="982"/>
      <c r="AA97" s="982"/>
      <c r="AB97" s="982"/>
      <c r="AC97" s="982"/>
      <c r="AD97" s="982"/>
      <c r="AE97" s="982"/>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6" t="s">
        <v>627</v>
      </c>
      <c r="B109" s="2297"/>
      <c r="C109" s="2297"/>
      <c r="D109" s="2297"/>
      <c r="E109" s="2297"/>
      <c r="F109" s="2297"/>
      <c r="G109" s="2297"/>
      <c r="H109" s="2297"/>
      <c r="I109" s="2297"/>
      <c r="J109" s="2297"/>
      <c r="K109" s="2297"/>
      <c r="L109" s="2297"/>
      <c r="M109" s="2297"/>
      <c r="N109" s="2297"/>
      <c r="O109" s="2297"/>
      <c r="P109" s="2297"/>
      <c r="Q109" s="2297"/>
      <c r="R109" s="2297"/>
      <c r="S109" s="2297"/>
      <c r="T109" s="2297"/>
      <c r="U109" s="2297"/>
      <c r="V109" s="2297"/>
      <c r="W109" s="2297"/>
      <c r="X109" s="2297"/>
      <c r="Y109" s="2298"/>
      <c r="Z109" s="2254" t="str">
        <f>Aulas!G5</f>
        <v>Curso 2024-2025</v>
      </c>
      <c r="AA109" s="2254"/>
      <c r="AB109" s="2254"/>
      <c r="AC109" s="2254"/>
      <c r="AD109" s="2254"/>
      <c r="AE109" s="2255"/>
    </row>
    <row r="110" spans="1:31" s="8" customFormat="1" ht="23.25" customHeight="1" x14ac:dyDescent="0.4">
      <c r="A110" s="2291" t="s">
        <v>1020</v>
      </c>
      <c r="B110" s="2292"/>
      <c r="C110" s="2292"/>
      <c r="D110" s="2292"/>
      <c r="E110" s="2292"/>
      <c r="F110" s="2292"/>
      <c r="G110" s="2292"/>
      <c r="H110" s="2292"/>
      <c r="I110" s="2292"/>
      <c r="J110" s="2292"/>
      <c r="K110" s="2292"/>
      <c r="L110" s="2292"/>
      <c r="M110" s="2292"/>
      <c r="N110" s="2292"/>
      <c r="O110" s="2292"/>
      <c r="P110" s="2292"/>
      <c r="Q110" s="2292"/>
      <c r="R110" s="2292"/>
      <c r="S110" s="2292"/>
      <c r="T110" s="2292"/>
      <c r="U110" s="2292"/>
      <c r="V110" s="2292"/>
      <c r="W110" s="2292"/>
      <c r="X110" s="2292"/>
      <c r="Y110" s="2293"/>
      <c r="Z110" s="2279" t="s">
        <v>158</v>
      </c>
      <c r="AA110" s="2279"/>
      <c r="AB110" s="2279"/>
      <c r="AC110" s="2279"/>
      <c r="AD110" s="2279"/>
      <c r="AE110" s="2280"/>
    </row>
    <row r="111" spans="1:31" s="8" customFormat="1" ht="23.25" customHeight="1" x14ac:dyDescent="0.4">
      <c r="A111" s="2264" t="s">
        <v>138</v>
      </c>
      <c r="B111" s="2265"/>
      <c r="C111" s="2265"/>
      <c r="D111" s="2265"/>
      <c r="E111" s="2265"/>
      <c r="F111" s="2265"/>
      <c r="G111" s="2265"/>
      <c r="H111" s="2265"/>
      <c r="I111" s="2265"/>
      <c r="J111" s="2265"/>
      <c r="K111" s="2265"/>
      <c r="L111" s="2265"/>
      <c r="M111" s="2265"/>
      <c r="N111" s="2265"/>
      <c r="O111" s="2265"/>
      <c r="P111" s="2265"/>
      <c r="Q111" s="2265"/>
      <c r="R111" s="2265"/>
      <c r="S111" s="2265"/>
      <c r="T111" s="2265"/>
      <c r="U111" s="2265"/>
      <c r="V111" s="2265"/>
      <c r="W111" s="2265"/>
      <c r="X111" s="2265"/>
      <c r="Y111" s="2266"/>
      <c r="Z111" s="2281"/>
      <c r="AA111" s="2281"/>
      <c r="AB111" s="2281"/>
      <c r="AC111" s="2281"/>
      <c r="AD111" s="2281"/>
      <c r="AE111" s="2282"/>
    </row>
    <row r="112" spans="1:31" ht="38.25" customHeight="1" x14ac:dyDescent="0.25">
      <c r="A112" s="23" t="s">
        <v>694</v>
      </c>
    </row>
    <row r="113" spans="1:31" s="2" customFormat="1" ht="24" customHeight="1" thickBot="1" x14ac:dyDescent="0.3">
      <c r="A113" s="165" t="s">
        <v>1</v>
      </c>
      <c r="B113" s="2254" t="s">
        <v>2</v>
      </c>
      <c r="C113" s="2254"/>
      <c r="D113" s="2254"/>
      <c r="E113" s="2254"/>
      <c r="F113" s="2254"/>
      <c r="G113" s="2255"/>
      <c r="H113" s="2254" t="s">
        <v>3</v>
      </c>
      <c r="I113" s="2254"/>
      <c r="J113" s="2254"/>
      <c r="K113" s="2254"/>
      <c r="L113" s="2254"/>
      <c r="M113" s="2255"/>
      <c r="N113" s="2254" t="s">
        <v>135</v>
      </c>
      <c r="O113" s="2254"/>
      <c r="P113" s="2254"/>
      <c r="Q113" s="2254"/>
      <c r="R113" s="2254"/>
      <c r="S113" s="2255"/>
      <c r="T113" s="2254" t="s">
        <v>4</v>
      </c>
      <c r="U113" s="2254"/>
      <c r="V113" s="2254"/>
      <c r="W113" s="2254"/>
      <c r="X113" s="2254"/>
      <c r="Y113" s="2255"/>
      <c r="Z113" s="2254" t="s">
        <v>5</v>
      </c>
      <c r="AA113" s="2254"/>
      <c r="AB113" s="2254"/>
      <c r="AC113" s="2254"/>
      <c r="AD113" s="2254"/>
      <c r="AE113" s="2255"/>
    </row>
    <row r="114" spans="1:31" ht="30" customHeight="1" x14ac:dyDescent="0.3">
      <c r="A114" s="1128" t="s">
        <v>10</v>
      </c>
      <c r="B114" s="1096" t="s">
        <v>636</v>
      </c>
      <c r="C114" s="1096"/>
      <c r="D114" s="1096"/>
      <c r="E114" s="1096"/>
      <c r="F114" s="1096"/>
      <c r="G114" s="2256"/>
      <c r="H114" s="1096" t="s">
        <v>31</v>
      </c>
      <c r="I114" s="1096"/>
      <c r="J114" s="1096"/>
      <c r="K114" s="1096"/>
      <c r="L114" s="1096"/>
      <c r="M114" s="2256"/>
      <c r="N114" s="1096" t="s">
        <v>1329</v>
      </c>
      <c r="O114" s="1096"/>
      <c r="P114" s="1096"/>
      <c r="Q114" s="1096"/>
      <c r="R114" s="1096"/>
      <c r="S114" s="2256"/>
      <c r="T114" s="1096" t="s">
        <v>1328</v>
      </c>
      <c r="U114" s="1096"/>
      <c r="V114" s="1096"/>
      <c r="W114" s="1096"/>
      <c r="X114" s="1096"/>
      <c r="Y114" s="2256"/>
      <c r="Z114" s="999"/>
      <c r="AA114" s="999"/>
      <c r="AB114" s="999"/>
      <c r="AC114" s="999"/>
      <c r="AD114" s="999"/>
      <c r="AE114" s="1110"/>
    </row>
    <row r="115" spans="1:31" ht="30" customHeight="1" x14ac:dyDescent="0.25">
      <c r="A115" s="1105"/>
      <c r="B115" s="1073" t="s">
        <v>567</v>
      </c>
      <c r="C115" s="1073"/>
      <c r="D115" s="1073"/>
      <c r="E115" s="1073"/>
      <c r="F115" s="1073"/>
      <c r="G115" s="2250"/>
      <c r="H115" s="1073" t="s">
        <v>157</v>
      </c>
      <c r="I115" s="1073"/>
      <c r="J115" s="1073"/>
      <c r="K115" s="1073"/>
      <c r="L115" s="1073"/>
      <c r="M115" s="2250"/>
      <c r="N115" s="1073" t="s">
        <v>157</v>
      </c>
      <c r="O115" s="1073"/>
      <c r="P115" s="1073"/>
      <c r="Q115" s="1073"/>
      <c r="R115" s="1073"/>
      <c r="S115" s="2250"/>
      <c r="T115" s="1073" t="s">
        <v>667</v>
      </c>
      <c r="U115" s="1073"/>
      <c r="V115" s="1073"/>
      <c r="W115" s="1073"/>
      <c r="X115" s="1073"/>
      <c r="Y115" s="2250"/>
      <c r="Z115" s="965"/>
      <c r="AA115" s="965"/>
      <c r="AB115" s="965"/>
      <c r="AC115" s="965"/>
      <c r="AD115" s="965"/>
      <c r="AE115" s="1086"/>
    </row>
    <row r="116" spans="1:31" ht="30" customHeight="1" x14ac:dyDescent="0.3">
      <c r="A116" s="1100" t="s">
        <v>981</v>
      </c>
      <c r="B116" s="1096" t="s">
        <v>636</v>
      </c>
      <c r="C116" s="1096"/>
      <c r="D116" s="1096"/>
      <c r="E116" s="1096"/>
      <c r="F116" s="1096"/>
      <c r="G116" s="2256"/>
      <c r="H116" s="1096" t="s">
        <v>31</v>
      </c>
      <c r="I116" s="1096"/>
      <c r="J116" s="1096"/>
      <c r="K116" s="1096"/>
      <c r="L116" s="1096"/>
      <c r="M116" s="2256"/>
      <c r="N116" s="1096" t="s">
        <v>1329</v>
      </c>
      <c r="O116" s="1096"/>
      <c r="P116" s="1096"/>
      <c r="Q116" s="1096"/>
      <c r="R116" s="1096"/>
      <c r="S116" s="2256"/>
      <c r="T116" s="1096" t="s">
        <v>1328</v>
      </c>
      <c r="U116" s="1096"/>
      <c r="V116" s="1096"/>
      <c r="W116" s="1096"/>
      <c r="X116" s="1096"/>
      <c r="Y116" s="2256"/>
      <c r="Z116" s="999"/>
      <c r="AA116" s="999"/>
      <c r="AB116" s="999"/>
      <c r="AC116" s="999"/>
      <c r="AD116" s="999"/>
      <c r="AE116" s="1110"/>
    </row>
    <row r="117" spans="1:31" ht="30" customHeight="1" x14ac:dyDescent="0.25">
      <c r="A117" s="1105"/>
      <c r="B117" s="1073" t="s">
        <v>567</v>
      </c>
      <c r="C117" s="1073"/>
      <c r="D117" s="1073"/>
      <c r="E117" s="1073"/>
      <c r="F117" s="1073"/>
      <c r="G117" s="2250"/>
      <c r="H117" s="1073" t="s">
        <v>157</v>
      </c>
      <c r="I117" s="1073"/>
      <c r="J117" s="1073"/>
      <c r="K117" s="1073"/>
      <c r="L117" s="1073"/>
      <c r="M117" s="2250"/>
      <c r="N117" s="1073" t="s">
        <v>157</v>
      </c>
      <c r="O117" s="1073"/>
      <c r="P117" s="1073"/>
      <c r="Q117" s="1073"/>
      <c r="R117" s="1073"/>
      <c r="S117" s="2250"/>
      <c r="T117" s="1073" t="s">
        <v>667</v>
      </c>
      <c r="U117" s="1073"/>
      <c r="V117" s="1073"/>
      <c r="W117" s="1073"/>
      <c r="X117" s="1073"/>
      <c r="Y117" s="2250"/>
      <c r="Z117" s="965"/>
      <c r="AA117" s="965"/>
      <c r="AB117" s="965"/>
      <c r="AC117" s="965"/>
      <c r="AD117" s="965"/>
      <c r="AE117" s="1086"/>
    </row>
    <row r="118" spans="1:31" ht="30" customHeight="1" x14ac:dyDescent="0.3">
      <c r="A118" s="1100" t="s">
        <v>982</v>
      </c>
      <c r="B118" s="995" t="s">
        <v>636</v>
      </c>
      <c r="C118" s="995"/>
      <c r="D118" s="995"/>
      <c r="E118" s="995"/>
      <c r="F118" s="995"/>
      <c r="G118" s="2253"/>
      <c r="H118" s="995" t="s">
        <v>636</v>
      </c>
      <c r="I118" s="995"/>
      <c r="J118" s="995"/>
      <c r="K118" s="995"/>
      <c r="L118" s="995"/>
      <c r="M118" s="2253"/>
      <c r="N118" s="995" t="s">
        <v>1328</v>
      </c>
      <c r="O118" s="995"/>
      <c r="P118" s="995"/>
      <c r="Q118" s="995"/>
      <c r="R118" s="995"/>
      <c r="S118" s="2253"/>
      <c r="T118" s="995" t="s">
        <v>31</v>
      </c>
      <c r="U118" s="995"/>
      <c r="V118" s="995"/>
      <c r="W118" s="995"/>
      <c r="X118" s="995"/>
      <c r="Y118" s="2253"/>
      <c r="Z118" s="999"/>
      <c r="AA118" s="999"/>
      <c r="AB118" s="999"/>
      <c r="AC118" s="999"/>
      <c r="AD118" s="999"/>
      <c r="AE118" s="1110"/>
    </row>
    <row r="119" spans="1:31" ht="30" customHeight="1" x14ac:dyDescent="0.25">
      <c r="A119" s="1105"/>
      <c r="B119" s="952" t="s">
        <v>158</v>
      </c>
      <c r="C119" s="952"/>
      <c r="D119" s="952"/>
      <c r="E119" s="952"/>
      <c r="F119" s="952"/>
      <c r="G119" s="1047"/>
      <c r="H119" s="952" t="s">
        <v>158</v>
      </c>
      <c r="I119" s="952"/>
      <c r="J119" s="952"/>
      <c r="K119" s="952"/>
      <c r="L119" s="952"/>
      <c r="M119" s="1047"/>
      <c r="N119" s="952" t="s">
        <v>158</v>
      </c>
      <c r="O119" s="952"/>
      <c r="P119" s="952"/>
      <c r="Q119" s="952"/>
      <c r="R119" s="952"/>
      <c r="S119" s="1047"/>
      <c r="T119" s="952" t="s">
        <v>158</v>
      </c>
      <c r="U119" s="952"/>
      <c r="V119" s="952"/>
      <c r="W119" s="952"/>
      <c r="X119" s="952"/>
      <c r="Y119" s="1047"/>
      <c r="Z119" s="965"/>
      <c r="AA119" s="965"/>
      <c r="AB119" s="965"/>
      <c r="AC119" s="965"/>
      <c r="AD119" s="965"/>
      <c r="AE119" s="1086"/>
    </row>
    <row r="120" spans="1:31" ht="30" customHeight="1" x14ac:dyDescent="0.3">
      <c r="A120" s="1100" t="s">
        <v>7</v>
      </c>
      <c r="B120" s="995" t="s">
        <v>29</v>
      </c>
      <c r="C120" s="995"/>
      <c r="D120" s="995"/>
      <c r="E120" s="995"/>
      <c r="F120" s="995"/>
      <c r="G120" s="2253"/>
      <c r="H120" s="995" t="s">
        <v>29</v>
      </c>
      <c r="I120" s="995"/>
      <c r="J120" s="995"/>
      <c r="K120" s="995"/>
      <c r="L120" s="995"/>
      <c r="M120" s="2253"/>
      <c r="N120" s="995" t="s">
        <v>1328</v>
      </c>
      <c r="O120" s="995"/>
      <c r="P120" s="995"/>
      <c r="Q120" s="995"/>
      <c r="R120" s="995"/>
      <c r="S120" s="2253"/>
      <c r="T120" s="995" t="s">
        <v>31</v>
      </c>
      <c r="U120" s="995"/>
      <c r="V120" s="995"/>
      <c r="W120" s="995"/>
      <c r="X120" s="995"/>
      <c r="Y120" s="2253"/>
      <c r="Z120" s="999"/>
      <c r="AA120" s="999"/>
      <c r="AB120" s="999"/>
      <c r="AC120" s="999"/>
      <c r="AD120" s="999"/>
      <c r="AE120" s="1110"/>
    </row>
    <row r="121" spans="1:31" ht="30" customHeight="1" x14ac:dyDescent="0.25">
      <c r="A121" s="1105"/>
      <c r="B121" s="952" t="s">
        <v>158</v>
      </c>
      <c r="C121" s="952"/>
      <c r="D121" s="952"/>
      <c r="E121" s="952"/>
      <c r="F121" s="952"/>
      <c r="G121" s="1047"/>
      <c r="H121" s="952" t="s">
        <v>158</v>
      </c>
      <c r="I121" s="952"/>
      <c r="J121" s="952"/>
      <c r="K121" s="952"/>
      <c r="L121" s="952"/>
      <c r="M121" s="1047"/>
      <c r="N121" s="952" t="s">
        <v>158</v>
      </c>
      <c r="O121" s="952"/>
      <c r="P121" s="952"/>
      <c r="Q121" s="952"/>
      <c r="R121" s="952"/>
      <c r="S121" s="1047"/>
      <c r="T121" s="952" t="s">
        <v>158</v>
      </c>
      <c r="U121" s="952"/>
      <c r="V121" s="952"/>
      <c r="W121" s="952"/>
      <c r="X121" s="952"/>
      <c r="Y121" s="1047"/>
      <c r="Z121" s="965"/>
      <c r="AA121" s="965"/>
      <c r="AB121" s="965"/>
      <c r="AC121" s="965"/>
      <c r="AD121" s="965"/>
      <c r="AE121" s="1086"/>
    </row>
    <row r="122" spans="1:31" ht="30" customHeight="1" x14ac:dyDescent="0.3">
      <c r="A122" s="1100" t="s">
        <v>8</v>
      </c>
      <c r="B122" s="1096" t="s">
        <v>29</v>
      </c>
      <c r="C122" s="1096"/>
      <c r="D122" s="1096"/>
      <c r="E122" s="1096"/>
      <c r="F122" s="1096"/>
      <c r="G122" s="2256"/>
      <c r="H122" s="999"/>
      <c r="I122" s="999"/>
      <c r="J122" s="999"/>
      <c r="K122" s="999"/>
      <c r="L122" s="999"/>
      <c r="M122" s="1110"/>
      <c r="N122" s="999"/>
      <c r="O122" s="999"/>
      <c r="P122" s="999"/>
      <c r="Q122" s="999"/>
      <c r="R122" s="999"/>
      <c r="S122" s="1110"/>
      <c r="T122" s="995" t="s">
        <v>1329</v>
      </c>
      <c r="U122" s="995"/>
      <c r="V122" s="995"/>
      <c r="W122" s="995"/>
      <c r="X122" s="995"/>
      <c r="Y122" s="2253"/>
      <c r="Z122" s="999"/>
      <c r="AA122" s="999"/>
      <c r="AB122" s="999"/>
      <c r="AC122" s="999"/>
      <c r="AD122" s="999"/>
      <c r="AE122" s="1110"/>
    </row>
    <row r="123" spans="1:31" ht="30" customHeight="1" x14ac:dyDescent="0.25">
      <c r="A123" s="1105"/>
      <c r="B123" s="1073" t="s">
        <v>567</v>
      </c>
      <c r="C123" s="1073"/>
      <c r="D123" s="1073"/>
      <c r="E123" s="1073"/>
      <c r="F123" s="1073"/>
      <c r="G123" s="2250"/>
      <c r="H123" s="965"/>
      <c r="I123" s="965"/>
      <c r="J123" s="965"/>
      <c r="K123" s="965"/>
      <c r="L123" s="965"/>
      <c r="M123" s="1086"/>
      <c r="N123" s="965"/>
      <c r="O123" s="965"/>
      <c r="P123" s="965"/>
      <c r="Q123" s="965"/>
      <c r="R123" s="965"/>
      <c r="S123" s="1086"/>
      <c r="T123" s="952" t="s">
        <v>158</v>
      </c>
      <c r="U123" s="952"/>
      <c r="V123" s="952"/>
      <c r="W123" s="952"/>
      <c r="X123" s="952"/>
      <c r="Y123" s="1047"/>
      <c r="Z123" s="965"/>
      <c r="AA123" s="965"/>
      <c r="AB123" s="965"/>
      <c r="AC123" s="965"/>
      <c r="AD123" s="965"/>
      <c r="AE123" s="1086"/>
    </row>
    <row r="124" spans="1:31" ht="30" customHeight="1" x14ac:dyDescent="0.3">
      <c r="A124" s="1100" t="s">
        <v>9</v>
      </c>
      <c r="B124" s="1096" t="s">
        <v>29</v>
      </c>
      <c r="C124" s="1096"/>
      <c r="D124" s="1096"/>
      <c r="E124" s="1096"/>
      <c r="F124" s="1096"/>
      <c r="G124" s="2256"/>
      <c r="H124" s="999"/>
      <c r="I124" s="999"/>
      <c r="J124" s="999"/>
      <c r="K124" s="999"/>
      <c r="L124" s="999"/>
      <c r="M124" s="1110"/>
      <c r="N124" s="999"/>
      <c r="O124" s="999"/>
      <c r="P124" s="999"/>
      <c r="Q124" s="999"/>
      <c r="R124" s="999"/>
      <c r="S124" s="1110"/>
      <c r="T124" s="995" t="s">
        <v>1329</v>
      </c>
      <c r="U124" s="995"/>
      <c r="V124" s="995"/>
      <c r="W124" s="995"/>
      <c r="X124" s="995"/>
      <c r="Y124" s="2253"/>
      <c r="Z124" s="999"/>
      <c r="AA124" s="999"/>
      <c r="AB124" s="999"/>
      <c r="AC124" s="999"/>
      <c r="AD124" s="999"/>
      <c r="AE124" s="1110"/>
    </row>
    <row r="125" spans="1:31" ht="30" customHeight="1" x14ac:dyDescent="0.25">
      <c r="A125" s="1105"/>
      <c r="B125" s="1073" t="s">
        <v>567</v>
      </c>
      <c r="C125" s="1073"/>
      <c r="D125" s="1073"/>
      <c r="E125" s="1073"/>
      <c r="F125" s="1073"/>
      <c r="G125" s="2250"/>
      <c r="H125" s="965"/>
      <c r="I125" s="965"/>
      <c r="J125" s="965"/>
      <c r="K125" s="965"/>
      <c r="L125" s="965"/>
      <c r="M125" s="1086"/>
      <c r="N125" s="965"/>
      <c r="O125" s="965"/>
      <c r="P125" s="965"/>
      <c r="Q125" s="965"/>
      <c r="R125" s="965"/>
      <c r="S125" s="1086"/>
      <c r="T125" s="952" t="s">
        <v>158</v>
      </c>
      <c r="U125" s="952"/>
      <c r="V125" s="952"/>
      <c r="W125" s="952"/>
      <c r="X125" s="952"/>
      <c r="Y125" s="1047"/>
      <c r="Z125" s="965"/>
      <c r="AA125" s="965"/>
      <c r="AB125" s="965"/>
      <c r="AC125" s="965"/>
      <c r="AD125" s="965"/>
      <c r="AE125" s="1086"/>
    </row>
    <row r="127" spans="1:31" ht="15" x14ac:dyDescent="0.25">
      <c r="A127" s="731" t="s">
        <v>214</v>
      </c>
      <c r="B127" s="732"/>
      <c r="C127" s="2272" t="s">
        <v>215</v>
      </c>
      <c r="D127" s="2272"/>
      <c r="E127" s="2272"/>
      <c r="F127" s="2272"/>
      <c r="G127" s="2272"/>
      <c r="H127" s="2272"/>
      <c r="I127" s="2272"/>
      <c r="J127" s="2272"/>
      <c r="K127" s="2272"/>
      <c r="L127" s="166"/>
      <c r="M127" s="2267" t="s">
        <v>618</v>
      </c>
      <c r="N127" s="2268"/>
      <c r="O127" s="2272" t="s">
        <v>139</v>
      </c>
      <c r="P127" s="2274"/>
      <c r="Q127" s="2272" t="s">
        <v>163</v>
      </c>
      <c r="R127" s="2272"/>
      <c r="S127" s="2272"/>
      <c r="T127" s="2272"/>
      <c r="U127" s="2272"/>
      <c r="V127" s="2272"/>
      <c r="W127" s="2272"/>
      <c r="X127" s="2272"/>
      <c r="Y127" s="2272"/>
      <c r="Z127" s="2272"/>
      <c r="AA127" s="2272"/>
      <c r="AB127" s="2272"/>
      <c r="AC127" s="2272"/>
      <c r="AD127" s="2272"/>
      <c r="AE127" s="2274"/>
    </row>
    <row r="128" spans="1:31" ht="15" x14ac:dyDescent="0.25">
      <c r="A128" s="2245" t="s">
        <v>79</v>
      </c>
      <c r="B128" s="2246"/>
      <c r="C128" s="2261" t="str">
        <f>ASIGNATURAS!I276</f>
        <v>Teoria de Circuitos</v>
      </c>
      <c r="D128" s="2262"/>
      <c r="E128" s="2262"/>
      <c r="F128" s="2262"/>
      <c r="G128" s="2262"/>
      <c r="H128" s="2262"/>
      <c r="I128" s="2262"/>
      <c r="J128" s="2262"/>
      <c r="K128" s="2262"/>
      <c r="L128" s="2262"/>
      <c r="M128" s="1205">
        <v>7728</v>
      </c>
      <c r="N128" s="1205"/>
      <c r="O128" s="2305">
        <v>6</v>
      </c>
      <c r="P128" s="2306"/>
      <c r="Q128" s="981" t="str">
        <f>ASIGNATURAS!K276</f>
        <v>Jesús Sagredo González</v>
      </c>
      <c r="R128" s="982"/>
      <c r="S128" s="982"/>
      <c r="T128" s="982"/>
      <c r="U128" s="982"/>
      <c r="V128" s="982"/>
      <c r="W128" s="982"/>
      <c r="X128" s="982"/>
      <c r="Y128" s="982"/>
      <c r="Z128" s="982"/>
      <c r="AA128" s="982"/>
      <c r="AB128" s="982"/>
      <c r="AC128" s="982"/>
      <c r="AD128" s="982"/>
      <c r="AE128" s="982"/>
    </row>
    <row r="129" spans="1:31" ht="15" customHeight="1" x14ac:dyDescent="0.25">
      <c r="A129" s="2245" t="s">
        <v>30</v>
      </c>
      <c r="B129" s="2246"/>
      <c r="C129" s="2261" t="str">
        <f>ASIGNATURAS!I277</f>
        <v xml:space="preserve">Fundamentos de Electrónica </v>
      </c>
      <c r="D129" s="2262"/>
      <c r="E129" s="2262"/>
      <c r="F129" s="2262"/>
      <c r="G129" s="2262"/>
      <c r="H129" s="2262"/>
      <c r="I129" s="2262"/>
      <c r="J129" s="2262"/>
      <c r="K129" s="2262"/>
      <c r="L129" s="2262"/>
      <c r="M129" s="1205">
        <v>7729</v>
      </c>
      <c r="N129" s="1205"/>
      <c r="O129" s="936">
        <v>6</v>
      </c>
      <c r="P129" s="1205"/>
      <c r="Q129" s="981" t="str">
        <f>ASIGNATURAS!K277</f>
        <v>Jesús H. Lucio</v>
      </c>
      <c r="R129" s="982"/>
      <c r="S129" s="982"/>
      <c r="T129" s="982"/>
      <c r="U129" s="982"/>
      <c r="V129" s="982"/>
      <c r="W129" s="982"/>
      <c r="X129" s="982"/>
      <c r="Y129" s="982"/>
      <c r="Z129" s="982"/>
      <c r="AA129" s="982"/>
      <c r="AB129" s="982"/>
      <c r="AC129" s="982"/>
      <c r="AD129" s="982"/>
      <c r="AE129" s="982"/>
    </row>
    <row r="130" spans="1:31" ht="15" customHeight="1" x14ac:dyDescent="0.25">
      <c r="A130" s="2245" t="s">
        <v>31</v>
      </c>
      <c r="B130" s="2246"/>
      <c r="C130" s="2261" t="str">
        <f>ASIGNATURAS!I278</f>
        <v>Mecanismos</v>
      </c>
      <c r="D130" s="2262"/>
      <c r="E130" s="2262"/>
      <c r="F130" s="2262"/>
      <c r="G130" s="2262"/>
      <c r="H130" s="2262"/>
      <c r="I130" s="2262"/>
      <c r="J130" s="2262"/>
      <c r="K130" s="2262"/>
      <c r="L130" s="2262"/>
      <c r="M130" s="2145">
        <v>7730</v>
      </c>
      <c r="N130" s="936"/>
      <c r="O130" s="936">
        <v>6</v>
      </c>
      <c r="P130" s="1205"/>
      <c r="Q130" s="981" t="str">
        <f>ASIGNATURAS!K278</f>
        <v>Alberto Martínez Martínez</v>
      </c>
      <c r="R130" s="982"/>
      <c r="S130" s="982"/>
      <c r="T130" s="982"/>
      <c r="U130" s="982"/>
      <c r="V130" s="982"/>
      <c r="W130" s="982"/>
      <c r="X130" s="982"/>
      <c r="Y130" s="982"/>
      <c r="Z130" s="982"/>
      <c r="AA130" s="982"/>
      <c r="AB130" s="982"/>
      <c r="AC130" s="982"/>
      <c r="AD130" s="982"/>
      <c r="AE130" s="982"/>
    </row>
    <row r="131" spans="1:31" ht="15" customHeight="1" x14ac:dyDescent="0.25">
      <c r="A131" s="2245" t="s">
        <v>629</v>
      </c>
      <c r="B131" s="2246"/>
      <c r="C131" s="2261" t="str">
        <f>ASIGNATURAS!I279</f>
        <v>Ingeniería Fluidomecánica</v>
      </c>
      <c r="D131" s="2262"/>
      <c r="E131" s="2262"/>
      <c r="F131" s="2262"/>
      <c r="G131" s="2262"/>
      <c r="H131" s="2262"/>
      <c r="I131" s="2262"/>
      <c r="J131" s="2262"/>
      <c r="K131" s="2262"/>
      <c r="L131" s="2262"/>
      <c r="M131" s="2145">
        <v>7731</v>
      </c>
      <c r="N131" s="936"/>
      <c r="O131" s="936">
        <v>6</v>
      </c>
      <c r="P131" s="1205"/>
      <c r="Q131" s="981" t="str">
        <f>ASIGNATURAS!K279</f>
        <v>José Antonio Barón</v>
      </c>
      <c r="R131" s="982"/>
      <c r="S131" s="982"/>
      <c r="T131" s="982"/>
      <c r="U131" s="982"/>
      <c r="V131" s="982"/>
      <c r="W131" s="982"/>
      <c r="X131" s="982"/>
      <c r="Y131" s="982"/>
      <c r="Z131" s="982"/>
      <c r="AA131" s="982"/>
      <c r="AB131" s="982"/>
      <c r="AC131" s="982"/>
      <c r="AD131" s="982"/>
      <c r="AE131" s="982"/>
    </row>
    <row r="132" spans="1:31" ht="15" customHeight="1" x14ac:dyDescent="0.25">
      <c r="A132" s="2245" t="s">
        <v>29</v>
      </c>
      <c r="B132" s="2246"/>
      <c r="C132" s="2261" t="str">
        <f>ASIGNATURAS!I280</f>
        <v>Automatismos y Control Industrial</v>
      </c>
      <c r="D132" s="2262"/>
      <c r="E132" s="2262"/>
      <c r="F132" s="2262"/>
      <c r="G132" s="2262"/>
      <c r="H132" s="2262"/>
      <c r="I132" s="2262"/>
      <c r="J132" s="2262"/>
      <c r="K132" s="2262"/>
      <c r="L132" s="2262"/>
      <c r="M132" s="2145">
        <v>7732</v>
      </c>
      <c r="N132" s="936"/>
      <c r="O132" s="936">
        <v>6</v>
      </c>
      <c r="P132" s="1205"/>
      <c r="Q132" s="981" t="str">
        <f>ASIGNATURAS!K280</f>
        <v>Juan Vicente Martín Fraile</v>
      </c>
      <c r="R132" s="982"/>
      <c r="S132" s="982"/>
      <c r="T132" s="982"/>
      <c r="U132" s="982"/>
      <c r="V132" s="982"/>
      <c r="W132" s="982"/>
      <c r="X132" s="982"/>
      <c r="Y132" s="982"/>
      <c r="Z132" s="982"/>
      <c r="AA132" s="982"/>
      <c r="AB132" s="982"/>
      <c r="AC132" s="982"/>
      <c r="AD132" s="982"/>
      <c r="AE132" s="982"/>
    </row>
    <row r="133" spans="1:31" ht="15" x14ac:dyDescent="0.25">
      <c r="A133" s="2245"/>
      <c r="B133" s="2246"/>
      <c r="C133" s="981"/>
      <c r="D133" s="982"/>
      <c r="E133" s="982"/>
      <c r="F133" s="982"/>
      <c r="G133" s="982"/>
      <c r="H133" s="982"/>
      <c r="I133" s="982"/>
      <c r="J133" s="982"/>
      <c r="K133" s="982"/>
      <c r="L133" s="982"/>
      <c r="M133" s="2145"/>
      <c r="N133" s="936"/>
      <c r="O133" s="936"/>
      <c r="P133" s="1205"/>
      <c r="Q133" s="981"/>
      <c r="R133" s="982"/>
      <c r="S133" s="982"/>
      <c r="T133" s="982"/>
      <c r="U133" s="982"/>
      <c r="V133" s="982"/>
      <c r="W133" s="982"/>
      <c r="X133" s="982"/>
      <c r="Y133" s="982"/>
      <c r="Z133" s="982"/>
      <c r="AA133" s="982"/>
      <c r="AB133" s="982"/>
      <c r="AC133" s="982"/>
      <c r="AD133" s="982"/>
      <c r="AE133" s="982"/>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6" t="s">
        <v>660</v>
      </c>
      <c r="B144" s="2297"/>
      <c r="C144" s="2297"/>
      <c r="D144" s="2297"/>
      <c r="E144" s="2297"/>
      <c r="F144" s="2297"/>
      <c r="G144" s="2297"/>
      <c r="H144" s="2297"/>
      <c r="I144" s="2297"/>
      <c r="J144" s="2297"/>
      <c r="K144" s="2297"/>
      <c r="L144" s="2297"/>
      <c r="M144" s="2297"/>
      <c r="N144" s="2297"/>
      <c r="O144" s="2297"/>
      <c r="P144" s="2297"/>
      <c r="Q144" s="2297"/>
      <c r="R144" s="2297"/>
      <c r="S144" s="2297"/>
      <c r="T144" s="2297"/>
      <c r="U144" s="2297"/>
      <c r="V144" s="2297"/>
      <c r="W144" s="2297"/>
      <c r="X144" s="2297"/>
      <c r="Y144" s="2298"/>
      <c r="Z144" s="2254" t="str">
        <f>Aulas!G5</f>
        <v>Curso 2024-2025</v>
      </c>
      <c r="AA144" s="2254"/>
      <c r="AB144" s="2254"/>
      <c r="AC144" s="2254"/>
      <c r="AD144" s="2254"/>
      <c r="AE144" s="2255"/>
    </row>
    <row r="145" spans="1:31" s="8" customFormat="1" ht="23.25" customHeight="1" x14ac:dyDescent="0.4">
      <c r="A145" s="2291" t="s">
        <v>1013</v>
      </c>
      <c r="B145" s="2292"/>
      <c r="C145" s="2292"/>
      <c r="D145" s="2292"/>
      <c r="E145" s="2292"/>
      <c r="F145" s="2292"/>
      <c r="G145" s="2292"/>
      <c r="H145" s="2292"/>
      <c r="I145" s="2292"/>
      <c r="J145" s="2292"/>
      <c r="K145" s="2292"/>
      <c r="L145" s="2292"/>
      <c r="M145" s="2292"/>
      <c r="N145" s="2292"/>
      <c r="O145" s="2292"/>
      <c r="P145" s="2292"/>
      <c r="Q145" s="2292"/>
      <c r="R145" s="2292"/>
      <c r="S145" s="2292"/>
      <c r="T145" s="2292"/>
      <c r="U145" s="2292"/>
      <c r="V145" s="2292"/>
      <c r="W145" s="2292"/>
      <c r="X145" s="2292"/>
      <c r="Y145" s="2293"/>
      <c r="Z145" s="2279" t="s">
        <v>153</v>
      </c>
      <c r="AA145" s="2279"/>
      <c r="AB145" s="2279"/>
      <c r="AC145" s="2279"/>
      <c r="AD145" s="2279"/>
      <c r="AE145" s="2280"/>
    </row>
    <row r="146" spans="1:31" s="8" customFormat="1" ht="23.25" customHeight="1" x14ac:dyDescent="0.4">
      <c r="A146" s="2264" t="s">
        <v>138</v>
      </c>
      <c r="B146" s="2265"/>
      <c r="C146" s="2265"/>
      <c r="D146" s="2265"/>
      <c r="E146" s="2265"/>
      <c r="F146" s="2265"/>
      <c r="G146" s="2265"/>
      <c r="H146" s="2265"/>
      <c r="I146" s="2265"/>
      <c r="J146" s="2265"/>
      <c r="K146" s="2265"/>
      <c r="L146" s="2265"/>
      <c r="M146" s="2265"/>
      <c r="N146" s="2265"/>
      <c r="O146" s="2265"/>
      <c r="P146" s="2265"/>
      <c r="Q146" s="2265"/>
      <c r="R146" s="2265"/>
      <c r="S146" s="2265"/>
      <c r="T146" s="2265"/>
      <c r="U146" s="2265"/>
      <c r="V146" s="2265"/>
      <c r="W146" s="2265"/>
      <c r="X146" s="2265"/>
      <c r="Y146" s="2266"/>
      <c r="Z146" s="2281"/>
      <c r="AA146" s="2281"/>
      <c r="AB146" s="2281"/>
      <c r="AC146" s="2281"/>
      <c r="AD146" s="2281"/>
      <c r="AE146" s="2282"/>
    </row>
    <row r="147" spans="1:31" ht="38.25" customHeight="1" x14ac:dyDescent="0.25">
      <c r="A147" s="23" t="s">
        <v>693</v>
      </c>
    </row>
    <row r="148" spans="1:31" s="2" customFormat="1" ht="24" customHeight="1" thickBot="1" x14ac:dyDescent="0.3">
      <c r="A148" s="165" t="s">
        <v>1</v>
      </c>
      <c r="B148" s="2254" t="s">
        <v>2</v>
      </c>
      <c r="C148" s="2254"/>
      <c r="D148" s="2254"/>
      <c r="E148" s="2254"/>
      <c r="F148" s="2254"/>
      <c r="G148" s="2255"/>
      <c r="H148" s="2254" t="s">
        <v>3</v>
      </c>
      <c r="I148" s="2254"/>
      <c r="J148" s="2254"/>
      <c r="K148" s="2254"/>
      <c r="L148" s="2254"/>
      <c r="M148" s="2255"/>
      <c r="N148" s="2254" t="s">
        <v>135</v>
      </c>
      <c r="O148" s="2254"/>
      <c r="P148" s="2254"/>
      <c r="Q148" s="2254"/>
      <c r="R148" s="2254"/>
      <c r="S148" s="2255"/>
      <c r="T148" s="2254" t="s">
        <v>4</v>
      </c>
      <c r="U148" s="2254"/>
      <c r="V148" s="2254"/>
      <c r="W148" s="2254"/>
      <c r="X148" s="2254"/>
      <c r="Y148" s="2255"/>
      <c r="Z148" s="2254" t="s">
        <v>5</v>
      </c>
      <c r="AA148" s="2254"/>
      <c r="AB148" s="2254"/>
      <c r="AC148" s="2254"/>
      <c r="AD148" s="2254"/>
      <c r="AE148" s="2255"/>
    </row>
    <row r="149" spans="1:31" ht="30" customHeight="1" x14ac:dyDescent="0.3">
      <c r="A149" s="1128" t="s">
        <v>10</v>
      </c>
      <c r="B149" s="1096" t="s">
        <v>663</v>
      </c>
      <c r="C149" s="1096"/>
      <c r="D149" s="1096"/>
      <c r="E149" s="1096"/>
      <c r="F149" s="1096"/>
      <c r="G149" s="2256"/>
      <c r="H149" s="995" t="s">
        <v>687</v>
      </c>
      <c r="I149" s="995"/>
      <c r="J149" s="995"/>
      <c r="K149" s="995"/>
      <c r="L149" s="995"/>
      <c r="M149" s="2253"/>
      <c r="N149" s="2263" t="s">
        <v>27</v>
      </c>
      <c r="O149" s="957"/>
      <c r="P149" s="957"/>
      <c r="Q149" s="957"/>
      <c r="R149" s="957"/>
      <c r="S149" s="1146"/>
      <c r="Z149" s="1147" t="s">
        <v>662</v>
      </c>
      <c r="AA149" s="987"/>
      <c r="AB149" s="987"/>
      <c r="AC149" s="987"/>
      <c r="AD149" s="987"/>
      <c r="AE149" s="2257"/>
    </row>
    <row r="150" spans="1:31" ht="30" customHeight="1" x14ac:dyDescent="0.25">
      <c r="A150" s="1105"/>
      <c r="B150" s="1073" t="s">
        <v>667</v>
      </c>
      <c r="C150" s="1073"/>
      <c r="D150" s="1073"/>
      <c r="E150" s="1073"/>
      <c r="F150" s="1073"/>
      <c r="G150" s="2250"/>
      <c r="H150" s="952" t="s">
        <v>153</v>
      </c>
      <c r="I150" s="952"/>
      <c r="J150" s="952"/>
      <c r="K150" s="952"/>
      <c r="L150" s="952"/>
      <c r="M150" s="1047"/>
      <c r="N150" s="952" t="s">
        <v>153</v>
      </c>
      <c r="O150" s="952"/>
      <c r="P150" s="952"/>
      <c r="Q150" s="952"/>
      <c r="R150" s="952"/>
      <c r="S150" s="1047"/>
      <c r="Z150" s="1109" t="s">
        <v>667</v>
      </c>
      <c r="AA150" s="1073"/>
      <c r="AB150" s="1073"/>
      <c r="AC150" s="1073"/>
      <c r="AD150" s="1073"/>
      <c r="AE150" s="2250"/>
    </row>
    <row r="151" spans="1:31" ht="30" customHeight="1" x14ac:dyDescent="0.3">
      <c r="A151" s="1100" t="s">
        <v>981</v>
      </c>
      <c r="B151" s="1096" t="s">
        <v>663</v>
      </c>
      <c r="C151" s="1096"/>
      <c r="D151" s="1096"/>
      <c r="E151" s="1096"/>
      <c r="F151" s="1096"/>
      <c r="G151" s="2256"/>
      <c r="H151" s="1147" t="s">
        <v>34</v>
      </c>
      <c r="I151" s="987"/>
      <c r="J151" s="987"/>
      <c r="K151" s="987"/>
      <c r="L151" s="987"/>
      <c r="M151" s="2257"/>
      <c r="N151" s="995" t="s">
        <v>663</v>
      </c>
      <c r="O151" s="995"/>
      <c r="P151" s="995"/>
      <c r="Q151" s="995"/>
      <c r="R151" s="995"/>
      <c r="S151" s="2253"/>
      <c r="T151" s="2263" t="s">
        <v>36</v>
      </c>
      <c r="U151" s="957"/>
      <c r="V151" s="957"/>
      <c r="W151" s="957"/>
      <c r="X151" s="957"/>
      <c r="Y151" s="1146"/>
      <c r="Z151" s="1096" t="s">
        <v>662</v>
      </c>
      <c r="AA151" s="1096"/>
      <c r="AB151" s="1096"/>
      <c r="AC151" s="1096"/>
      <c r="AD151" s="1096"/>
      <c r="AE151" s="2256"/>
    </row>
    <row r="152" spans="1:31" ht="30" customHeight="1" x14ac:dyDescent="0.25">
      <c r="A152" s="1105"/>
      <c r="B152" s="1073" t="s">
        <v>667</v>
      </c>
      <c r="C152" s="1073"/>
      <c r="D152" s="1073"/>
      <c r="E152" s="1073"/>
      <c r="F152" s="1073"/>
      <c r="G152" s="2250"/>
      <c r="H152" s="1109" t="s">
        <v>153</v>
      </c>
      <c r="I152" s="1073"/>
      <c r="J152" s="1073"/>
      <c r="K152" s="1073"/>
      <c r="L152" s="1073"/>
      <c r="M152" s="2250"/>
      <c r="N152" s="952" t="s">
        <v>153</v>
      </c>
      <c r="O152" s="952"/>
      <c r="P152" s="952"/>
      <c r="Q152" s="952"/>
      <c r="R152" s="952"/>
      <c r="S152" s="1047"/>
      <c r="T152" s="952" t="s">
        <v>153</v>
      </c>
      <c r="U152" s="952"/>
      <c r="V152" s="952"/>
      <c r="W152" s="952"/>
      <c r="X152" s="952"/>
      <c r="Y152" s="1047"/>
      <c r="Z152" s="1109" t="s">
        <v>667</v>
      </c>
      <c r="AA152" s="1073"/>
      <c r="AB152" s="1073"/>
      <c r="AC152" s="1073"/>
      <c r="AD152" s="1073"/>
      <c r="AE152" s="2250"/>
    </row>
    <row r="153" spans="1:31" ht="30" customHeight="1" x14ac:dyDescent="0.3">
      <c r="A153" s="1100" t="s">
        <v>982</v>
      </c>
      <c r="B153" s="995" t="s">
        <v>663</v>
      </c>
      <c r="C153" s="995"/>
      <c r="D153" s="995"/>
      <c r="E153" s="995"/>
      <c r="F153" s="995"/>
      <c r="G153" s="2253"/>
      <c r="H153" s="1096" t="s">
        <v>34</v>
      </c>
      <c r="I153" s="1096"/>
      <c r="J153" s="1096"/>
      <c r="K153" s="1096"/>
      <c r="L153" s="1096"/>
      <c r="M153" s="2256"/>
      <c r="N153" s="1096" t="s">
        <v>687</v>
      </c>
      <c r="O153" s="1096"/>
      <c r="P153" s="1096"/>
      <c r="Q153" s="1096"/>
      <c r="R153" s="1096"/>
      <c r="S153" s="2256"/>
      <c r="T153" s="995" t="s">
        <v>36</v>
      </c>
      <c r="U153" s="995"/>
      <c r="V153" s="995"/>
      <c r="W153" s="995"/>
      <c r="X153" s="995"/>
      <c r="Y153" s="2253"/>
      <c r="Z153" s="1096" t="s">
        <v>36</v>
      </c>
      <c r="AA153" s="1096"/>
      <c r="AB153" s="1096"/>
      <c r="AC153" s="1096"/>
      <c r="AD153" s="1096"/>
      <c r="AE153" s="2256"/>
    </row>
    <row r="154" spans="1:31" ht="30" customHeight="1" x14ac:dyDescent="0.25">
      <c r="A154" s="1105"/>
      <c r="B154" s="952" t="s">
        <v>153</v>
      </c>
      <c r="C154" s="952"/>
      <c r="D154" s="952"/>
      <c r="E154" s="952"/>
      <c r="F154" s="952"/>
      <c r="G154" s="1047"/>
      <c r="H154" s="1109" t="s">
        <v>153</v>
      </c>
      <c r="I154" s="1073"/>
      <c r="J154" s="1073"/>
      <c r="K154" s="1073"/>
      <c r="L154" s="1073"/>
      <c r="M154" s="2250"/>
      <c r="N154" s="1109" t="s">
        <v>1283</v>
      </c>
      <c r="O154" s="1073"/>
      <c r="P154" s="1073"/>
      <c r="Q154" s="1073"/>
      <c r="R154" s="1073"/>
      <c r="S154" s="2250"/>
      <c r="T154" s="952" t="s">
        <v>153</v>
      </c>
      <c r="U154" s="952"/>
      <c r="V154" s="952"/>
      <c r="W154" s="952"/>
      <c r="X154" s="952"/>
      <c r="Y154" s="1047"/>
      <c r="Z154" s="1073" t="s">
        <v>1301</v>
      </c>
      <c r="AA154" s="1073"/>
      <c r="AB154" s="1073"/>
      <c r="AC154" s="1073"/>
      <c r="AD154" s="1073"/>
      <c r="AE154" s="2250"/>
    </row>
    <row r="155" spans="1:31" ht="30" customHeight="1" x14ac:dyDescent="0.3">
      <c r="A155" s="1100" t="s">
        <v>7</v>
      </c>
      <c r="B155" s="995" t="s">
        <v>687</v>
      </c>
      <c r="C155" s="995"/>
      <c r="D155" s="995"/>
      <c r="E155" s="995"/>
      <c r="F155" s="995"/>
      <c r="G155" s="2253"/>
      <c r="H155" s="995" t="s">
        <v>27</v>
      </c>
      <c r="I155" s="995"/>
      <c r="J155" s="995"/>
      <c r="K155" s="995"/>
      <c r="L155" s="995"/>
      <c r="M155" s="2253"/>
      <c r="N155" s="1096" t="s">
        <v>687</v>
      </c>
      <c r="O155" s="1096"/>
      <c r="P155" s="1096"/>
      <c r="Q155" s="1096"/>
      <c r="R155" s="1096"/>
      <c r="S155" s="2256"/>
      <c r="T155" s="995" t="s">
        <v>662</v>
      </c>
      <c r="U155" s="995"/>
      <c r="V155" s="995"/>
      <c r="W155" s="995"/>
      <c r="X155" s="995"/>
      <c r="Y155" s="2253"/>
      <c r="Z155" s="1096" t="s">
        <v>36</v>
      </c>
      <c r="AA155" s="1096"/>
      <c r="AB155" s="1096"/>
      <c r="AC155" s="1096"/>
      <c r="AD155" s="1096"/>
      <c r="AE155" s="2256"/>
    </row>
    <row r="156" spans="1:31" ht="30" customHeight="1" x14ac:dyDescent="0.25">
      <c r="A156" s="1105"/>
      <c r="B156" s="952" t="s">
        <v>153</v>
      </c>
      <c r="C156" s="952"/>
      <c r="D156" s="952"/>
      <c r="E156" s="952"/>
      <c r="F156" s="952"/>
      <c r="G156" s="1047"/>
      <c r="H156" s="952" t="s">
        <v>153</v>
      </c>
      <c r="I156" s="952"/>
      <c r="J156" s="952"/>
      <c r="K156" s="952"/>
      <c r="L156" s="952"/>
      <c r="M156" s="1047"/>
      <c r="N156" s="1109" t="s">
        <v>1283</v>
      </c>
      <c r="O156" s="1073"/>
      <c r="P156" s="1073"/>
      <c r="Q156" s="1073"/>
      <c r="R156" s="1073"/>
      <c r="S156" s="2250"/>
      <c r="T156" s="952" t="s">
        <v>153</v>
      </c>
      <c r="U156" s="952"/>
      <c r="V156" s="952"/>
      <c r="W156" s="952"/>
      <c r="X156" s="952"/>
      <c r="Y156" s="1047"/>
      <c r="Z156" s="1073" t="s">
        <v>1301</v>
      </c>
      <c r="AA156" s="1073"/>
      <c r="AB156" s="1073"/>
      <c r="AC156" s="1073"/>
      <c r="AD156" s="1073"/>
      <c r="AE156" s="2250"/>
    </row>
    <row r="157" spans="1:31" ht="30" customHeight="1" x14ac:dyDescent="0.3">
      <c r="A157" s="1100" t="s">
        <v>8</v>
      </c>
      <c r="B157" s="995" t="s">
        <v>34</v>
      </c>
      <c r="C157" s="995"/>
      <c r="D157" s="995"/>
      <c r="E157" s="995"/>
      <c r="F157" s="995"/>
      <c r="G157" s="2253"/>
      <c r="H157" s="999"/>
      <c r="I157" s="999"/>
      <c r="J157" s="999"/>
      <c r="K157" s="999"/>
      <c r="L157" s="999"/>
      <c r="M157" s="1110"/>
      <c r="N157" s="999"/>
      <c r="O157" s="999"/>
      <c r="P157" s="999"/>
      <c r="Q157" s="999"/>
      <c r="R157" s="999"/>
      <c r="S157" s="1110"/>
      <c r="T157" s="995" t="s">
        <v>662</v>
      </c>
      <c r="U157" s="995"/>
      <c r="V157" s="995"/>
      <c r="W157" s="995"/>
      <c r="X157" s="995"/>
      <c r="Y157" s="2253"/>
      <c r="Z157" s="999"/>
      <c r="AA157" s="999"/>
      <c r="AB157" s="999"/>
      <c r="AC157" s="999"/>
      <c r="AD157" s="999"/>
      <c r="AE157" s="1110"/>
    </row>
    <row r="158" spans="1:31" ht="30" customHeight="1" x14ac:dyDescent="0.25">
      <c r="A158" s="1105"/>
      <c r="B158" s="952" t="s">
        <v>153</v>
      </c>
      <c r="C158" s="952"/>
      <c r="D158" s="952"/>
      <c r="E158" s="952"/>
      <c r="F158" s="952"/>
      <c r="G158" s="1047"/>
      <c r="H158" s="965"/>
      <c r="I158" s="965"/>
      <c r="J158" s="965"/>
      <c r="K158" s="965"/>
      <c r="L158" s="965"/>
      <c r="M158" s="1086"/>
      <c r="N158" s="965"/>
      <c r="O158" s="965"/>
      <c r="P158" s="965"/>
      <c r="Q158" s="965"/>
      <c r="R158" s="965"/>
      <c r="S158" s="1086"/>
      <c r="T158" s="952" t="s">
        <v>153</v>
      </c>
      <c r="U158" s="952"/>
      <c r="V158" s="952"/>
      <c r="W158" s="952"/>
      <c r="X158" s="952"/>
      <c r="Y158" s="1047"/>
      <c r="Z158" s="965"/>
      <c r="AA158" s="965"/>
      <c r="AB158" s="965"/>
      <c r="AC158" s="965"/>
      <c r="AD158" s="965"/>
      <c r="AE158" s="1086"/>
    </row>
    <row r="159" spans="1:31" ht="30" customHeight="1" x14ac:dyDescent="0.3">
      <c r="A159" s="1100" t="s">
        <v>9</v>
      </c>
      <c r="B159" s="995" t="s">
        <v>34</v>
      </c>
      <c r="C159" s="995"/>
      <c r="D159" s="995"/>
      <c r="E159" s="995"/>
      <c r="F159" s="995"/>
      <c r="G159" s="2253"/>
      <c r="H159" s="999"/>
      <c r="I159" s="999"/>
      <c r="J159" s="999"/>
      <c r="K159" s="999"/>
      <c r="L159" s="999"/>
      <c r="M159" s="1110"/>
      <c r="N159" s="999"/>
      <c r="O159" s="999"/>
      <c r="P159" s="999"/>
      <c r="Q159" s="999"/>
      <c r="R159" s="999"/>
      <c r="S159" s="1110"/>
      <c r="T159" s="999"/>
      <c r="U159" s="999"/>
      <c r="V159" s="999"/>
      <c r="W159" s="999"/>
      <c r="X159" s="999"/>
      <c r="Y159" s="1110"/>
      <c r="Z159" s="999"/>
      <c r="AA159" s="999"/>
      <c r="AB159" s="999"/>
      <c r="AC159" s="999"/>
      <c r="AD159" s="999"/>
      <c r="AE159" s="1110"/>
    </row>
    <row r="160" spans="1:31" ht="30" customHeight="1" x14ac:dyDescent="0.25">
      <c r="A160" s="1105"/>
      <c r="B160" s="952" t="s">
        <v>153</v>
      </c>
      <c r="C160" s="952"/>
      <c r="D160" s="952"/>
      <c r="E160" s="952"/>
      <c r="F160" s="952"/>
      <c r="G160" s="1047"/>
      <c r="H160" s="965"/>
      <c r="I160" s="965"/>
      <c r="J160" s="965"/>
      <c r="K160" s="965"/>
      <c r="L160" s="965"/>
      <c r="M160" s="1086"/>
      <c r="N160" s="965"/>
      <c r="O160" s="965"/>
      <c r="P160" s="965"/>
      <c r="Q160" s="965"/>
      <c r="R160" s="965"/>
      <c r="S160" s="1086"/>
      <c r="T160" s="965"/>
      <c r="U160" s="965"/>
      <c r="V160" s="965"/>
      <c r="W160" s="965"/>
      <c r="X160" s="965"/>
      <c r="Y160" s="1086"/>
      <c r="Z160" s="965"/>
      <c r="AA160" s="965"/>
      <c r="AB160" s="965"/>
      <c r="AC160" s="965"/>
      <c r="AD160" s="965"/>
      <c r="AE160" s="1086"/>
    </row>
    <row r="161" spans="1:31" s="2" customFormat="1" ht="24" customHeight="1" thickBot="1" x14ac:dyDescent="0.3">
      <c r="A161" s="165" t="s">
        <v>1</v>
      </c>
      <c r="B161" s="2254" t="s">
        <v>2</v>
      </c>
      <c r="C161" s="2254"/>
      <c r="D161" s="2254"/>
      <c r="E161" s="2254"/>
      <c r="F161" s="2254"/>
      <c r="G161" s="2255"/>
      <c r="H161" s="2254" t="s">
        <v>3</v>
      </c>
      <c r="I161" s="2254"/>
      <c r="J161" s="2254"/>
      <c r="K161" s="2254"/>
      <c r="L161" s="2254"/>
      <c r="M161" s="2255"/>
      <c r="N161" s="2254" t="s">
        <v>135</v>
      </c>
      <c r="O161" s="2254"/>
      <c r="P161" s="2254"/>
      <c r="Q161" s="2254"/>
      <c r="R161" s="2254"/>
      <c r="S161" s="2255"/>
      <c r="T161" s="2254" t="s">
        <v>4</v>
      </c>
      <c r="U161" s="2254"/>
      <c r="V161" s="2254"/>
      <c r="W161" s="2254"/>
      <c r="X161" s="2254"/>
      <c r="Y161" s="2255"/>
      <c r="Z161" s="2254" t="s">
        <v>5</v>
      </c>
      <c r="AA161" s="2254"/>
      <c r="AB161" s="2254"/>
      <c r="AC161" s="2254"/>
      <c r="AD161" s="2254"/>
      <c r="AE161" s="2255"/>
    </row>
    <row r="162" spans="1:31" ht="30" customHeight="1" x14ac:dyDescent="0.3">
      <c r="A162" s="1128" t="s">
        <v>183</v>
      </c>
      <c r="B162" s="1096" t="s">
        <v>27</v>
      </c>
      <c r="C162" s="1096"/>
      <c r="D162" s="1096"/>
      <c r="E162" s="1096"/>
      <c r="F162" s="1096"/>
      <c r="G162" s="2256"/>
      <c r="H162" s="999"/>
      <c r="I162" s="999"/>
      <c r="J162" s="999"/>
      <c r="K162" s="999"/>
      <c r="L162" s="999"/>
      <c r="M162" s="1110"/>
      <c r="N162" s="1083"/>
      <c r="O162" s="1020"/>
      <c r="P162" s="1020"/>
      <c r="Q162" s="1020"/>
      <c r="R162" s="1020"/>
      <c r="S162" s="1021"/>
      <c r="T162" s="10"/>
      <c r="U162" s="10"/>
      <c r="V162" s="10"/>
      <c r="W162" s="10"/>
      <c r="X162" s="10"/>
      <c r="Y162" s="10"/>
      <c r="Z162" s="1083"/>
      <c r="AA162" s="1020"/>
      <c r="AB162" s="1020"/>
      <c r="AC162" s="1020"/>
      <c r="AD162" s="1020"/>
      <c r="AE162" s="1021"/>
    </row>
    <row r="163" spans="1:31" ht="30" customHeight="1" x14ac:dyDescent="0.25">
      <c r="A163" s="1105"/>
      <c r="B163" s="1073" t="s">
        <v>160</v>
      </c>
      <c r="C163" s="1073"/>
      <c r="D163" s="1073"/>
      <c r="E163" s="1073"/>
      <c r="F163" s="1073"/>
      <c r="G163" s="2250"/>
      <c r="H163" s="965"/>
      <c r="I163" s="965"/>
      <c r="J163" s="965"/>
      <c r="K163" s="965"/>
      <c r="L163" s="965"/>
      <c r="M163" s="1086"/>
      <c r="N163" s="965"/>
      <c r="O163" s="965"/>
      <c r="P163" s="965"/>
      <c r="Q163" s="965"/>
      <c r="R163" s="965"/>
      <c r="S163" s="1086"/>
      <c r="T163" s="10"/>
      <c r="U163" s="10"/>
      <c r="V163" s="10"/>
      <c r="W163" s="10"/>
      <c r="X163" s="10"/>
      <c r="Y163" s="10"/>
      <c r="Z163" s="1026"/>
      <c r="AA163" s="965"/>
      <c r="AB163" s="965"/>
      <c r="AC163" s="965"/>
      <c r="AD163" s="965"/>
      <c r="AE163" s="1086"/>
    </row>
    <row r="164" spans="1:31" ht="30" customHeight="1" x14ac:dyDescent="0.3">
      <c r="A164" s="1100" t="s">
        <v>182</v>
      </c>
      <c r="B164" s="1096" t="s">
        <v>27</v>
      </c>
      <c r="C164" s="1096"/>
      <c r="D164" s="1096"/>
      <c r="E164" s="1096"/>
      <c r="F164" s="1096"/>
      <c r="G164" s="2256"/>
      <c r="H164" s="1083"/>
      <c r="I164" s="1020"/>
      <c r="J164" s="1020"/>
      <c r="K164" s="1020"/>
      <c r="L164" s="1020"/>
      <c r="M164" s="1021"/>
      <c r="N164" s="999"/>
      <c r="O164" s="999"/>
      <c r="P164" s="999"/>
      <c r="Q164" s="999"/>
      <c r="R164" s="999"/>
      <c r="S164" s="1110"/>
      <c r="T164" s="1083"/>
      <c r="U164" s="1020"/>
      <c r="V164" s="1020"/>
      <c r="W164" s="1020"/>
      <c r="X164" s="1020"/>
      <c r="Y164" s="1021"/>
      <c r="Z164" s="999"/>
      <c r="AA164" s="999"/>
      <c r="AB164" s="999"/>
      <c r="AC164" s="999"/>
      <c r="AD164" s="999"/>
      <c r="AE164" s="1110"/>
    </row>
    <row r="165" spans="1:31" ht="30" customHeight="1" x14ac:dyDescent="0.25">
      <c r="A165" s="1105"/>
      <c r="B165" s="1073" t="s">
        <v>160</v>
      </c>
      <c r="C165" s="1073"/>
      <c r="D165" s="1073"/>
      <c r="E165" s="1073"/>
      <c r="F165" s="1073"/>
      <c r="G165" s="2250"/>
      <c r="H165" s="1026"/>
      <c r="I165" s="965"/>
      <c r="J165" s="965"/>
      <c r="K165" s="965"/>
      <c r="L165" s="965"/>
      <c r="M165" s="1086"/>
      <c r="N165" s="965"/>
      <c r="O165" s="965"/>
      <c r="P165" s="965"/>
      <c r="Q165" s="965"/>
      <c r="R165" s="965"/>
      <c r="S165" s="1086"/>
      <c r="T165" s="965"/>
      <c r="U165" s="965"/>
      <c r="V165" s="965"/>
      <c r="W165" s="965"/>
      <c r="X165" s="965"/>
      <c r="Y165" s="1086"/>
      <c r="Z165" s="1026"/>
      <c r="AA165" s="965"/>
      <c r="AB165" s="965"/>
      <c r="AC165" s="965"/>
      <c r="AD165" s="965"/>
      <c r="AE165" s="1086"/>
    </row>
    <row r="166" spans="1:31" x14ac:dyDescent="0.25">
      <c r="P166" s="327"/>
      <c r="Q166" s="327"/>
      <c r="S166" s="327"/>
    </row>
    <row r="167" spans="1:31" ht="15" x14ac:dyDescent="0.25">
      <c r="A167" s="731" t="s">
        <v>214</v>
      </c>
      <c r="B167" s="732"/>
      <c r="C167" s="2272" t="s">
        <v>215</v>
      </c>
      <c r="D167" s="2272"/>
      <c r="E167" s="2272"/>
      <c r="F167" s="2272"/>
      <c r="G167" s="2272"/>
      <c r="H167" s="2272"/>
      <c r="I167" s="2272"/>
      <c r="J167" s="2272"/>
      <c r="K167" s="2272"/>
      <c r="L167" s="166"/>
      <c r="M167" s="2267" t="s">
        <v>618</v>
      </c>
      <c r="N167" s="2268"/>
      <c r="O167" s="2272" t="s">
        <v>139</v>
      </c>
      <c r="P167" s="2274"/>
      <c r="Q167" s="2272" t="s">
        <v>163</v>
      </c>
      <c r="R167" s="2272"/>
      <c r="S167" s="2272"/>
      <c r="T167" s="2272"/>
      <c r="U167" s="2272"/>
      <c r="V167" s="2272"/>
      <c r="W167" s="2272"/>
      <c r="X167" s="2272"/>
      <c r="Y167" s="2272"/>
      <c r="Z167" s="2272"/>
      <c r="AA167" s="2272"/>
      <c r="AB167" s="2272"/>
      <c r="AC167" s="2272"/>
      <c r="AD167" s="2272"/>
      <c r="AE167" s="2274"/>
    </row>
    <row r="168" spans="1:31" ht="15" x14ac:dyDescent="0.25">
      <c r="A168" s="2245" t="s">
        <v>27</v>
      </c>
      <c r="B168" s="2246"/>
      <c r="C168" s="2261" t="str">
        <f>ASIGNATURAS!I281</f>
        <v>Ingeniería de Materiales</v>
      </c>
      <c r="D168" s="2262"/>
      <c r="E168" s="2262"/>
      <c r="F168" s="2262"/>
      <c r="G168" s="2262"/>
      <c r="H168" s="2262"/>
      <c r="I168" s="2262"/>
      <c r="J168" s="2262"/>
      <c r="K168" s="2262"/>
      <c r="L168" s="2262"/>
      <c r="M168" s="1205">
        <v>7733</v>
      </c>
      <c r="N168" s="1205"/>
      <c r="O168" s="2305">
        <v>6</v>
      </c>
      <c r="P168" s="2306"/>
      <c r="Q168" s="981" t="str">
        <f>ASIGNATURAS!K281</f>
        <v>Mónica Preciado, David Cardenas</v>
      </c>
      <c r="R168" s="982"/>
      <c r="S168" s="982"/>
      <c r="T168" s="982"/>
      <c r="U168" s="982"/>
      <c r="V168" s="982"/>
      <c r="W168" s="982"/>
      <c r="X168" s="982"/>
      <c r="Y168" s="982"/>
      <c r="Z168" s="982"/>
      <c r="AA168" s="982"/>
      <c r="AB168" s="982"/>
      <c r="AC168" s="982"/>
      <c r="AD168" s="982"/>
      <c r="AE168" s="982"/>
    </row>
    <row r="169" spans="1:31" ht="15" customHeight="1" x14ac:dyDescent="0.25">
      <c r="A169" s="2245" t="s">
        <v>687</v>
      </c>
      <c r="B169" s="2246"/>
      <c r="C169" s="2261" t="str">
        <f>ASIGNATURAS!I282</f>
        <v>Máquinas Eléctricas</v>
      </c>
      <c r="D169" s="2262"/>
      <c r="E169" s="2262"/>
      <c r="F169" s="2262"/>
      <c r="G169" s="2262"/>
      <c r="H169" s="2262"/>
      <c r="I169" s="2262"/>
      <c r="J169" s="2262"/>
      <c r="K169" s="2262"/>
      <c r="L169" s="2262"/>
      <c r="M169" s="1205">
        <v>7740</v>
      </c>
      <c r="N169" s="1205"/>
      <c r="O169" s="936">
        <v>6</v>
      </c>
      <c r="P169" s="1205"/>
      <c r="Q169" s="981" t="str">
        <f>ASIGNATURAS!K282</f>
        <v>Vanesa Fernández Cavero</v>
      </c>
      <c r="R169" s="982"/>
      <c r="S169" s="982"/>
      <c r="T169" s="982"/>
      <c r="U169" s="982"/>
      <c r="V169" s="982"/>
      <c r="W169" s="982"/>
      <c r="X169" s="982"/>
      <c r="Y169" s="982"/>
      <c r="Z169" s="982"/>
      <c r="AA169" s="982"/>
      <c r="AB169" s="982"/>
      <c r="AC169" s="982"/>
      <c r="AD169" s="982"/>
      <c r="AE169" s="982"/>
    </row>
    <row r="170" spans="1:31" ht="15" customHeight="1" x14ac:dyDescent="0.25">
      <c r="A170" s="2245" t="s">
        <v>34</v>
      </c>
      <c r="B170" s="2246"/>
      <c r="C170" s="2261" t="str">
        <f>ASIGNATURAS!I283</f>
        <v>Resistencia de Materiales II</v>
      </c>
      <c r="D170" s="2262"/>
      <c r="E170" s="2262"/>
      <c r="F170" s="2262"/>
      <c r="G170" s="2262"/>
      <c r="H170" s="2262"/>
      <c r="I170" s="2262"/>
      <c r="J170" s="2262"/>
      <c r="K170" s="2262"/>
      <c r="L170" s="2262"/>
      <c r="M170" s="1205">
        <v>7735</v>
      </c>
      <c r="N170" s="1205"/>
      <c r="O170" s="936">
        <v>6</v>
      </c>
      <c r="P170" s="1205"/>
      <c r="Q170" s="981" t="str">
        <f>ASIGNATURAS!K283</f>
        <v>Wilco Verbeeten,  Jesús Manuel Alegre</v>
      </c>
      <c r="R170" s="982"/>
      <c r="S170" s="982"/>
      <c r="T170" s="982"/>
      <c r="U170" s="982"/>
      <c r="V170" s="982"/>
      <c r="W170" s="982"/>
      <c r="X170" s="982"/>
      <c r="Y170" s="982"/>
      <c r="Z170" s="982"/>
      <c r="AA170" s="982"/>
      <c r="AB170" s="982"/>
      <c r="AC170" s="982"/>
      <c r="AD170" s="982"/>
      <c r="AE170" s="982"/>
    </row>
    <row r="171" spans="1:31" ht="15" customHeight="1" x14ac:dyDescent="0.25">
      <c r="A171" s="2245" t="s">
        <v>36</v>
      </c>
      <c r="B171" s="2246"/>
      <c r="C171" s="2261" t="str">
        <f>ASIGNATURAS!I284</f>
        <v>Mecanismos II</v>
      </c>
      <c r="D171" s="2262"/>
      <c r="E171" s="2262"/>
      <c r="F171" s="2262"/>
      <c r="G171" s="2262"/>
      <c r="H171" s="2262"/>
      <c r="I171" s="2262"/>
      <c r="J171" s="2262"/>
      <c r="K171" s="2262"/>
      <c r="L171" s="2262"/>
      <c r="M171" s="1205">
        <v>7736</v>
      </c>
      <c r="N171" s="1205"/>
      <c r="O171" s="936">
        <v>6</v>
      </c>
      <c r="P171" s="1205"/>
      <c r="Q171" s="981" t="str">
        <f>ASIGNATURAS!K284</f>
        <v>Eduardo Pérez Colina</v>
      </c>
      <c r="R171" s="982"/>
      <c r="S171" s="982"/>
      <c r="T171" s="982"/>
      <c r="U171" s="982"/>
      <c r="V171" s="982"/>
      <c r="W171" s="982"/>
      <c r="X171" s="982"/>
      <c r="Y171" s="982"/>
      <c r="Z171" s="982"/>
      <c r="AA171" s="982"/>
      <c r="AB171" s="982"/>
      <c r="AC171" s="982"/>
      <c r="AD171" s="982"/>
      <c r="AE171" s="982"/>
    </row>
    <row r="172" spans="1:31" ht="15" customHeight="1" x14ac:dyDescent="0.25">
      <c r="A172" s="2245" t="s">
        <v>662</v>
      </c>
      <c r="B172" s="2246"/>
      <c r="C172" s="2261" t="str">
        <f>ASIGNATURAS!I285</f>
        <v>Electrónica Analógica</v>
      </c>
      <c r="D172" s="2262"/>
      <c r="E172" s="2262"/>
      <c r="F172" s="2262"/>
      <c r="G172" s="2262"/>
      <c r="H172" s="2262"/>
      <c r="I172" s="2262"/>
      <c r="J172" s="2262"/>
      <c r="K172" s="2262"/>
      <c r="L172" s="2262"/>
      <c r="M172" s="1205">
        <v>7737</v>
      </c>
      <c r="N172" s="1205"/>
      <c r="O172" s="936">
        <v>6</v>
      </c>
      <c r="P172" s="1205"/>
      <c r="Q172" s="981" t="str">
        <f>ASIGNATURAS!K285</f>
        <v>Jesús H. Lucio</v>
      </c>
      <c r="R172" s="982"/>
      <c r="S172" s="982"/>
      <c r="T172" s="982"/>
      <c r="U172" s="982"/>
      <c r="V172" s="982"/>
      <c r="W172" s="982"/>
      <c r="X172" s="982"/>
      <c r="Y172" s="982"/>
      <c r="Z172" s="982"/>
      <c r="AA172" s="982"/>
      <c r="AB172" s="982"/>
      <c r="AC172" s="982"/>
      <c r="AD172" s="982"/>
      <c r="AE172" s="982"/>
    </row>
    <row r="173" spans="1:31" ht="15" x14ac:dyDescent="0.25">
      <c r="A173" s="2245" t="s">
        <v>663</v>
      </c>
      <c r="B173" s="2246"/>
      <c r="C173" s="2261" t="str">
        <f>ASIGNATURAS!I286</f>
        <v>Electrónica Digital</v>
      </c>
      <c r="D173" s="2262"/>
      <c r="E173" s="2262"/>
      <c r="F173" s="2262"/>
      <c r="G173" s="2262"/>
      <c r="H173" s="2262"/>
      <c r="I173" s="2262"/>
      <c r="J173" s="2262"/>
      <c r="K173" s="2262"/>
      <c r="L173" s="2262"/>
      <c r="M173" s="1205">
        <v>7738</v>
      </c>
      <c r="N173" s="1205"/>
      <c r="O173" s="936">
        <v>6</v>
      </c>
      <c r="P173" s="1205"/>
      <c r="Q173" s="981" t="str">
        <f>ASIGNATURAS!K286</f>
        <v xml:space="preserve">Miguel Angel Lozano </v>
      </c>
      <c r="R173" s="982"/>
      <c r="S173" s="982"/>
      <c r="T173" s="982"/>
      <c r="U173" s="982"/>
      <c r="V173" s="982"/>
      <c r="W173" s="982"/>
      <c r="X173" s="982"/>
      <c r="Y173" s="982"/>
      <c r="Z173" s="982"/>
      <c r="AA173" s="982"/>
      <c r="AB173" s="982"/>
      <c r="AC173" s="982"/>
      <c r="AD173" s="982"/>
      <c r="AE173" s="982"/>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6" t="s">
        <v>660</v>
      </c>
      <c r="B183" s="2297"/>
      <c r="C183" s="2297"/>
      <c r="D183" s="2297"/>
      <c r="E183" s="2297"/>
      <c r="F183" s="2297"/>
      <c r="G183" s="2297"/>
      <c r="H183" s="2297"/>
      <c r="I183" s="2297"/>
      <c r="J183" s="2297"/>
      <c r="K183" s="2297"/>
      <c r="L183" s="2297"/>
      <c r="M183" s="2297"/>
      <c r="N183" s="2297"/>
      <c r="O183" s="2297"/>
      <c r="P183" s="2297"/>
      <c r="Q183" s="2297"/>
      <c r="R183" s="2297"/>
      <c r="S183" s="2297"/>
      <c r="T183" s="2297"/>
      <c r="U183" s="2297"/>
      <c r="V183" s="2297"/>
      <c r="W183" s="2297"/>
      <c r="X183" s="2297"/>
      <c r="Y183" s="2298"/>
      <c r="Z183" s="2254" t="str">
        <f>Aulas!G5</f>
        <v>Curso 2024-2025</v>
      </c>
      <c r="AA183" s="2254"/>
      <c r="AB183" s="2254"/>
      <c r="AC183" s="2254"/>
      <c r="AD183" s="2254"/>
      <c r="AE183" s="2255"/>
    </row>
    <row r="184" spans="1:31" s="8" customFormat="1" ht="23.25" customHeight="1" x14ac:dyDescent="0.4">
      <c r="A184" s="2291" t="s">
        <v>1014</v>
      </c>
      <c r="B184" s="2292"/>
      <c r="C184" s="2292"/>
      <c r="D184" s="2292"/>
      <c r="E184" s="2292"/>
      <c r="F184" s="2292"/>
      <c r="G184" s="2292"/>
      <c r="H184" s="2292"/>
      <c r="I184" s="2292"/>
      <c r="J184" s="2292"/>
      <c r="K184" s="2292"/>
      <c r="L184" s="2292"/>
      <c r="M184" s="2292"/>
      <c r="N184" s="2292"/>
      <c r="O184" s="2292"/>
      <c r="P184" s="2292"/>
      <c r="Q184" s="2292"/>
      <c r="R184" s="2292"/>
      <c r="S184" s="2292"/>
      <c r="T184" s="2292"/>
      <c r="U184" s="2292"/>
      <c r="V184" s="2292"/>
      <c r="W184" s="2292"/>
      <c r="X184" s="2292"/>
      <c r="Y184" s="2293"/>
      <c r="Z184" s="2279" t="s">
        <v>153</v>
      </c>
      <c r="AA184" s="2279"/>
      <c r="AB184" s="2279"/>
      <c r="AC184" s="2279"/>
      <c r="AD184" s="2279"/>
      <c r="AE184" s="2280"/>
    </row>
    <row r="185" spans="1:31" s="8" customFormat="1" ht="23.25" customHeight="1" x14ac:dyDescent="0.4">
      <c r="A185" s="2264" t="s">
        <v>138</v>
      </c>
      <c r="B185" s="2265"/>
      <c r="C185" s="2265"/>
      <c r="D185" s="2265"/>
      <c r="E185" s="2265"/>
      <c r="F185" s="2265"/>
      <c r="G185" s="2265"/>
      <c r="H185" s="2265"/>
      <c r="I185" s="2265"/>
      <c r="J185" s="2265"/>
      <c r="K185" s="2265"/>
      <c r="L185" s="2265"/>
      <c r="M185" s="2265"/>
      <c r="N185" s="2265"/>
      <c r="O185" s="2265"/>
      <c r="P185" s="2265"/>
      <c r="Q185" s="2265"/>
      <c r="R185" s="2265"/>
      <c r="S185" s="2265"/>
      <c r="T185" s="2265"/>
      <c r="U185" s="2265"/>
      <c r="V185" s="2265"/>
      <c r="W185" s="2265"/>
      <c r="X185" s="2265"/>
      <c r="Y185" s="2266"/>
      <c r="Z185" s="2281"/>
      <c r="AA185" s="2281"/>
      <c r="AB185" s="2281"/>
      <c r="AC185" s="2281"/>
      <c r="AD185" s="2281"/>
      <c r="AE185" s="2282"/>
    </row>
    <row r="186" spans="1:31" ht="38.25" customHeight="1" x14ac:dyDescent="0.25">
      <c r="A186" s="23" t="s">
        <v>692</v>
      </c>
    </row>
    <row r="187" spans="1:31" s="2" customFormat="1" ht="24" customHeight="1" thickBot="1" x14ac:dyDescent="0.3">
      <c r="A187" s="165" t="s">
        <v>1</v>
      </c>
      <c r="B187" s="2254" t="s">
        <v>2</v>
      </c>
      <c r="C187" s="2254"/>
      <c r="D187" s="2254"/>
      <c r="E187" s="2254"/>
      <c r="F187" s="2254"/>
      <c r="G187" s="2255"/>
      <c r="H187" s="2254" t="s">
        <v>3</v>
      </c>
      <c r="I187" s="2254"/>
      <c r="J187" s="2254"/>
      <c r="K187" s="2254"/>
      <c r="L187" s="2254"/>
      <c r="M187" s="2255"/>
      <c r="N187" s="2254" t="s">
        <v>135</v>
      </c>
      <c r="O187" s="2254"/>
      <c r="P187" s="2254"/>
      <c r="Q187" s="2254"/>
      <c r="R187" s="2254"/>
      <c r="S187" s="2255"/>
      <c r="T187" s="2254" t="s">
        <v>4</v>
      </c>
      <c r="U187" s="2254"/>
      <c r="V187" s="2254"/>
      <c r="W187" s="2254"/>
      <c r="X187" s="2254"/>
      <c r="Y187" s="2255"/>
      <c r="Z187" s="2254" t="s">
        <v>5</v>
      </c>
      <c r="AA187" s="2254"/>
      <c r="AB187" s="2254"/>
      <c r="AC187" s="2254"/>
      <c r="AD187" s="2254"/>
      <c r="AE187" s="2255"/>
    </row>
    <row r="188" spans="1:31" ht="30" customHeight="1" x14ac:dyDescent="0.3">
      <c r="A188" s="1128" t="s">
        <v>10</v>
      </c>
      <c r="B188" s="999"/>
      <c r="C188" s="999"/>
      <c r="D188" s="999"/>
      <c r="E188" s="999"/>
      <c r="F188" s="999"/>
      <c r="G188" s="1110"/>
      <c r="H188" s="999"/>
      <c r="I188" s="999"/>
      <c r="J188" s="999"/>
      <c r="K188" s="999"/>
      <c r="L188" s="999"/>
      <c r="M188" s="1110"/>
      <c r="N188" s="1096" t="s">
        <v>688</v>
      </c>
      <c r="O188" s="1096"/>
      <c r="P188" s="1096"/>
      <c r="Q188" s="1096"/>
      <c r="R188" s="1096"/>
      <c r="S188" s="2256"/>
      <c r="T188" s="995" t="s">
        <v>664</v>
      </c>
      <c r="U188" s="995"/>
      <c r="V188" s="995"/>
      <c r="W188" s="995"/>
      <c r="X188" s="995"/>
      <c r="Y188" s="2253"/>
      <c r="Z188" s="999"/>
      <c r="AA188" s="999"/>
      <c r="AB188" s="999"/>
      <c r="AC188" s="999"/>
      <c r="AD188" s="999"/>
      <c r="AE188" s="1110"/>
    </row>
    <row r="189" spans="1:31" ht="30" customHeight="1" x14ac:dyDescent="0.25">
      <c r="A189" s="1105"/>
      <c r="B189" s="965"/>
      <c r="C189" s="965"/>
      <c r="D189" s="965"/>
      <c r="E189" s="965"/>
      <c r="F189" s="965"/>
      <c r="G189" s="1086"/>
      <c r="H189" s="965"/>
      <c r="I189" s="965"/>
      <c r="J189" s="965"/>
      <c r="K189" s="965"/>
      <c r="L189" s="965"/>
      <c r="M189" s="1086"/>
      <c r="N189" s="1073" t="s">
        <v>153</v>
      </c>
      <c r="O189" s="1073"/>
      <c r="P189" s="1073"/>
      <c r="Q189" s="1073"/>
      <c r="R189" s="1073"/>
      <c r="S189" s="2250"/>
      <c r="T189" s="952" t="s">
        <v>153</v>
      </c>
      <c r="U189" s="952"/>
      <c r="V189" s="952"/>
      <c r="W189" s="952"/>
      <c r="X189" s="952"/>
      <c r="Y189" s="1047"/>
      <c r="Z189" s="965"/>
      <c r="AA189" s="965"/>
      <c r="AB189" s="965"/>
      <c r="AC189" s="965"/>
      <c r="AD189" s="965"/>
      <c r="AE189" s="1086"/>
    </row>
    <row r="190" spans="1:31" ht="30" customHeight="1" x14ac:dyDescent="0.3">
      <c r="A190" s="1100" t="s">
        <v>981</v>
      </c>
      <c r="B190" s="999"/>
      <c r="C190" s="999"/>
      <c r="D190" s="999"/>
      <c r="E190" s="999"/>
      <c r="F190" s="999"/>
      <c r="G190" s="1110"/>
      <c r="H190" s="995" t="s">
        <v>688</v>
      </c>
      <c r="I190" s="995"/>
      <c r="J190" s="995"/>
      <c r="K190" s="995"/>
      <c r="L190" s="995"/>
      <c r="M190" s="2253"/>
      <c r="N190" s="1096" t="s">
        <v>688</v>
      </c>
      <c r="O190" s="1096"/>
      <c r="P190" s="1096"/>
      <c r="Q190" s="1096"/>
      <c r="R190" s="1096"/>
      <c r="S190" s="2256"/>
      <c r="T190" s="995" t="s">
        <v>664</v>
      </c>
      <c r="U190" s="995"/>
      <c r="V190" s="995"/>
      <c r="W190" s="995"/>
      <c r="X190" s="995"/>
      <c r="Y190" s="2253"/>
      <c r="Z190" s="999"/>
      <c r="AA190" s="999"/>
      <c r="AB190" s="999"/>
      <c r="AC190" s="999"/>
      <c r="AD190" s="999"/>
      <c r="AE190" s="1110"/>
    </row>
    <row r="191" spans="1:31" ht="30" customHeight="1" x14ac:dyDescent="0.25">
      <c r="A191" s="1105"/>
      <c r="B191" s="965"/>
      <c r="C191" s="965"/>
      <c r="D191" s="965"/>
      <c r="E191" s="965"/>
      <c r="F191" s="965"/>
      <c r="G191" s="1086"/>
      <c r="H191" s="952" t="s">
        <v>153</v>
      </c>
      <c r="I191" s="952"/>
      <c r="J191" s="952"/>
      <c r="K191" s="952"/>
      <c r="L191" s="952"/>
      <c r="M191" s="1047"/>
      <c r="N191" s="1073" t="s">
        <v>153</v>
      </c>
      <c r="O191" s="1073"/>
      <c r="P191" s="1073"/>
      <c r="Q191" s="1073"/>
      <c r="R191" s="1073"/>
      <c r="S191" s="2250"/>
      <c r="T191" s="952" t="s">
        <v>153</v>
      </c>
      <c r="U191" s="952"/>
      <c r="V191" s="952"/>
      <c r="W191" s="952"/>
      <c r="X191" s="952"/>
      <c r="Y191" s="1047"/>
      <c r="Z191" s="965"/>
      <c r="AA191" s="965"/>
      <c r="AB191" s="965"/>
      <c r="AC191" s="965"/>
      <c r="AD191" s="965"/>
      <c r="AE191" s="1086"/>
    </row>
    <row r="192" spans="1:31" ht="30" customHeight="1" x14ac:dyDescent="0.3">
      <c r="A192" s="1100" t="s">
        <v>982</v>
      </c>
      <c r="B192" s="1096" t="s">
        <v>686</v>
      </c>
      <c r="C192" s="1096"/>
      <c r="D192" s="1096"/>
      <c r="E192" s="1096"/>
      <c r="F192" s="1096"/>
      <c r="G192" s="2256"/>
      <c r="H192" s="995" t="s">
        <v>688</v>
      </c>
      <c r="I192" s="995"/>
      <c r="J192" s="995"/>
      <c r="K192" s="995"/>
      <c r="L192" s="995"/>
      <c r="M192" s="2253"/>
      <c r="N192" s="995" t="s">
        <v>666</v>
      </c>
      <c r="O192" s="995"/>
      <c r="P192" s="995"/>
      <c r="Q192" s="995"/>
      <c r="R192" s="995"/>
      <c r="S192" s="2253"/>
      <c r="T192" s="1096" t="s">
        <v>666</v>
      </c>
      <c r="U192" s="1096"/>
      <c r="V192" s="1096"/>
      <c r="W192" s="1096"/>
      <c r="X192" s="1096"/>
      <c r="Y192" s="2256"/>
      <c r="Z192" s="999"/>
      <c r="AA192" s="999"/>
      <c r="AB192" s="999"/>
      <c r="AC192" s="999"/>
      <c r="AD192" s="999"/>
      <c r="AE192" s="1110"/>
    </row>
    <row r="193" spans="1:31" ht="30" customHeight="1" x14ac:dyDescent="0.25">
      <c r="A193" s="1105"/>
      <c r="B193" s="1073" t="s">
        <v>632</v>
      </c>
      <c r="C193" s="1073"/>
      <c r="D193" s="1073"/>
      <c r="E193" s="1073"/>
      <c r="F193" s="1073"/>
      <c r="G193" s="2250"/>
      <c r="H193" s="952" t="s">
        <v>153</v>
      </c>
      <c r="I193" s="952"/>
      <c r="J193" s="952"/>
      <c r="K193" s="952"/>
      <c r="L193" s="952"/>
      <c r="M193" s="1047"/>
      <c r="N193" s="952" t="s">
        <v>153</v>
      </c>
      <c r="O193" s="952"/>
      <c r="P193" s="952"/>
      <c r="Q193" s="952"/>
      <c r="R193" s="952"/>
      <c r="S193" s="1047"/>
      <c r="T193" s="1073" t="s">
        <v>1303</v>
      </c>
      <c r="U193" s="1073"/>
      <c r="V193" s="1073"/>
      <c r="W193" s="1073"/>
      <c r="X193" s="1073"/>
      <c r="Y193" s="2250"/>
      <c r="Z193" s="965"/>
      <c r="AA193" s="965"/>
      <c r="AB193" s="965"/>
      <c r="AC193" s="965"/>
      <c r="AD193" s="965"/>
      <c r="AE193" s="1086"/>
    </row>
    <row r="194" spans="1:31" ht="30" customHeight="1" x14ac:dyDescent="0.3">
      <c r="A194" s="1100" t="s">
        <v>7</v>
      </c>
      <c r="B194" s="1096" t="s">
        <v>686</v>
      </c>
      <c r="C194" s="1096"/>
      <c r="D194" s="1096"/>
      <c r="E194" s="1096"/>
      <c r="F194" s="1096"/>
      <c r="G194" s="2256"/>
      <c r="H194" s="995" t="s">
        <v>38</v>
      </c>
      <c r="I194" s="995"/>
      <c r="J194" s="995"/>
      <c r="K194" s="995"/>
      <c r="L194" s="995"/>
      <c r="M194" s="2253"/>
      <c r="N194" s="995" t="s">
        <v>38</v>
      </c>
      <c r="O194" s="995"/>
      <c r="P194" s="995"/>
      <c r="Q194" s="995"/>
      <c r="R194" s="995"/>
      <c r="S194" s="2253"/>
      <c r="T194" s="1096" t="s">
        <v>666</v>
      </c>
      <c r="U194" s="1096"/>
      <c r="V194" s="1096"/>
      <c r="W194" s="1096"/>
      <c r="X194" s="1096"/>
      <c r="Y194" s="2256"/>
      <c r="Z194" s="999"/>
      <c r="AA194" s="999"/>
      <c r="AB194" s="999"/>
      <c r="AC194" s="999"/>
      <c r="AD194" s="999"/>
      <c r="AE194" s="1110"/>
    </row>
    <row r="195" spans="1:31" ht="30" customHeight="1" x14ac:dyDescent="0.25">
      <c r="A195" s="1105"/>
      <c r="B195" s="1073" t="s">
        <v>632</v>
      </c>
      <c r="C195" s="1073"/>
      <c r="D195" s="1073"/>
      <c r="E195" s="1073"/>
      <c r="F195" s="1073"/>
      <c r="G195" s="2250"/>
      <c r="H195" s="952" t="s">
        <v>153</v>
      </c>
      <c r="I195" s="952"/>
      <c r="J195" s="952"/>
      <c r="K195" s="952"/>
      <c r="L195" s="952"/>
      <c r="M195" s="1047"/>
      <c r="N195" s="952" t="s">
        <v>153</v>
      </c>
      <c r="O195" s="952"/>
      <c r="P195" s="952"/>
      <c r="Q195" s="952"/>
      <c r="R195" s="952"/>
      <c r="S195" s="1047"/>
      <c r="T195" s="1073" t="s">
        <v>1303</v>
      </c>
      <c r="U195" s="1073"/>
      <c r="V195" s="1073"/>
      <c r="W195" s="1073"/>
      <c r="X195" s="1073"/>
      <c r="Y195" s="2250"/>
      <c r="Z195" s="965"/>
      <c r="AA195" s="965"/>
      <c r="AB195" s="965"/>
      <c r="AC195" s="965"/>
      <c r="AD195" s="965"/>
      <c r="AE195" s="1086"/>
    </row>
    <row r="196" spans="1:31" ht="30" customHeight="1" x14ac:dyDescent="0.3">
      <c r="A196" s="1100" t="s">
        <v>8</v>
      </c>
      <c r="B196" s="995" t="s">
        <v>686</v>
      </c>
      <c r="C196" s="995"/>
      <c r="D196" s="995"/>
      <c r="E196" s="995"/>
      <c r="F196" s="995"/>
      <c r="G196" s="2253"/>
      <c r="H196" s="1096" t="s">
        <v>664</v>
      </c>
      <c r="I196" s="1096"/>
      <c r="J196" s="1096"/>
      <c r="K196" s="1096"/>
      <c r="L196" s="1096"/>
      <c r="M196" s="2256"/>
      <c r="N196" s="1096" t="s">
        <v>38</v>
      </c>
      <c r="O196" s="1096"/>
      <c r="P196" s="1096"/>
      <c r="Q196" s="1096"/>
      <c r="R196" s="1096"/>
      <c r="S196" s="2256"/>
      <c r="T196" s="995" t="s">
        <v>666</v>
      </c>
      <c r="U196" s="995"/>
      <c r="V196" s="995"/>
      <c r="W196" s="995"/>
      <c r="X196" s="995"/>
      <c r="Y196" s="2253"/>
      <c r="Z196" s="999"/>
      <c r="AA196" s="999"/>
      <c r="AB196" s="999"/>
      <c r="AC196" s="999"/>
      <c r="AD196" s="999"/>
      <c r="AE196" s="1110"/>
    </row>
    <row r="197" spans="1:31" ht="30" customHeight="1" x14ac:dyDescent="0.25">
      <c r="A197" s="1105"/>
      <c r="B197" s="952" t="s">
        <v>153</v>
      </c>
      <c r="C197" s="952"/>
      <c r="D197" s="952"/>
      <c r="E197" s="952"/>
      <c r="F197" s="952"/>
      <c r="G197" s="1047"/>
      <c r="H197" s="1073" t="s">
        <v>1302</v>
      </c>
      <c r="I197" s="1073"/>
      <c r="J197" s="1073"/>
      <c r="K197" s="1073"/>
      <c r="L197" s="1073"/>
      <c r="M197" s="2250"/>
      <c r="N197" s="1109" t="s">
        <v>1253</v>
      </c>
      <c r="O197" s="1073"/>
      <c r="P197" s="1073"/>
      <c r="Q197" s="1073"/>
      <c r="R197" s="1073"/>
      <c r="S197" s="2250"/>
      <c r="T197" s="952" t="s">
        <v>153</v>
      </c>
      <c r="U197" s="952"/>
      <c r="V197" s="952"/>
      <c r="W197" s="952"/>
      <c r="X197" s="952"/>
      <c r="Y197" s="1047"/>
      <c r="Z197" s="965"/>
      <c r="AA197" s="965"/>
      <c r="AB197" s="965"/>
      <c r="AC197" s="965"/>
      <c r="AD197" s="965"/>
      <c r="AE197" s="1086"/>
    </row>
    <row r="198" spans="1:31" ht="30" customHeight="1" x14ac:dyDescent="0.3">
      <c r="A198" s="1100" t="s">
        <v>9</v>
      </c>
      <c r="B198" s="999"/>
      <c r="C198" s="999"/>
      <c r="D198" s="999"/>
      <c r="E198" s="999"/>
      <c r="F198" s="999"/>
      <c r="G198" s="1110"/>
      <c r="H198" s="1096" t="s">
        <v>664</v>
      </c>
      <c r="I198" s="1096"/>
      <c r="J198" s="1096"/>
      <c r="K198" s="1096"/>
      <c r="L198" s="1096"/>
      <c r="M198" s="2256"/>
      <c r="N198" s="1096" t="s">
        <v>38</v>
      </c>
      <c r="O198" s="1096"/>
      <c r="P198" s="1096"/>
      <c r="Q198" s="1096"/>
      <c r="R198" s="1096"/>
      <c r="S198" s="2256"/>
      <c r="T198" s="995" t="s">
        <v>686</v>
      </c>
      <c r="U198" s="995"/>
      <c r="V198" s="995"/>
      <c r="W198" s="995"/>
      <c r="X198" s="995"/>
      <c r="Y198" s="2253"/>
      <c r="Z198" s="999"/>
      <c r="AA198" s="999"/>
      <c r="AB198" s="999"/>
      <c r="AC198" s="999"/>
      <c r="AD198" s="999"/>
      <c r="AE198" s="1110"/>
    </row>
    <row r="199" spans="1:31" ht="30" customHeight="1" x14ac:dyDescent="0.25">
      <c r="A199" s="1105"/>
      <c r="B199" s="965"/>
      <c r="C199" s="965"/>
      <c r="D199" s="965"/>
      <c r="E199" s="965"/>
      <c r="F199" s="965"/>
      <c r="G199" s="1086"/>
      <c r="H199" s="1073" t="s">
        <v>1302</v>
      </c>
      <c r="I199" s="1073"/>
      <c r="J199" s="1073"/>
      <c r="K199" s="1073"/>
      <c r="L199" s="1073"/>
      <c r="M199" s="2250"/>
      <c r="N199" s="1109" t="s">
        <v>1253</v>
      </c>
      <c r="O199" s="1073"/>
      <c r="P199" s="1073"/>
      <c r="Q199" s="1073"/>
      <c r="R199" s="1073"/>
      <c r="S199" s="2250"/>
      <c r="T199" s="952" t="s">
        <v>153</v>
      </c>
      <c r="U199" s="952"/>
      <c r="V199" s="952"/>
      <c r="W199" s="952"/>
      <c r="X199" s="952"/>
      <c r="Y199" s="1047"/>
      <c r="Z199" s="965"/>
      <c r="AA199" s="965"/>
      <c r="AB199" s="965"/>
      <c r="AC199" s="965"/>
      <c r="AD199" s="965"/>
      <c r="AE199" s="1086"/>
    </row>
    <row r="201" spans="1:31" ht="15" x14ac:dyDescent="0.25">
      <c r="A201" s="731" t="s">
        <v>214</v>
      </c>
      <c r="B201" s="732"/>
      <c r="C201" s="2272" t="s">
        <v>215</v>
      </c>
      <c r="D201" s="2272"/>
      <c r="E201" s="2272"/>
      <c r="F201" s="2272"/>
      <c r="G201" s="2272"/>
      <c r="H201" s="2272"/>
      <c r="I201" s="2272"/>
      <c r="J201" s="2272"/>
      <c r="K201" s="2272"/>
      <c r="L201" s="166"/>
      <c r="M201" s="2267" t="s">
        <v>618</v>
      </c>
      <c r="N201" s="2268"/>
      <c r="O201" s="2272" t="s">
        <v>139</v>
      </c>
      <c r="P201" s="2274"/>
      <c r="Q201" s="2271" t="s">
        <v>163</v>
      </c>
      <c r="R201" s="2272"/>
      <c r="S201" s="2272"/>
      <c r="T201" s="2272"/>
      <c r="U201" s="2272"/>
      <c r="V201" s="2272"/>
      <c r="W201" s="2272"/>
      <c r="X201" s="2272"/>
      <c r="Y201" s="2272"/>
      <c r="Z201" s="2272"/>
      <c r="AA201" s="2272"/>
      <c r="AB201" s="2272"/>
      <c r="AC201" s="2272"/>
      <c r="AD201" s="2272"/>
      <c r="AE201" s="2275"/>
    </row>
    <row r="202" spans="1:31" ht="15" customHeight="1" x14ac:dyDescent="0.25">
      <c r="A202" s="2245" t="s">
        <v>666</v>
      </c>
      <c r="B202" s="2246"/>
      <c r="C202" s="2261" t="str">
        <f>ASIGNATURAS!I287</f>
        <v>Sistemas de Producción y Fabricación Industrial</v>
      </c>
      <c r="D202" s="2262"/>
      <c r="E202" s="2262"/>
      <c r="F202" s="2262"/>
      <c r="G202" s="2262"/>
      <c r="H202" s="2262"/>
      <c r="I202" s="2262"/>
      <c r="J202" s="2262"/>
      <c r="K202" s="2262"/>
      <c r="L202" s="2262"/>
      <c r="M202" s="1205">
        <v>7739</v>
      </c>
      <c r="N202" s="1205"/>
      <c r="O202" s="2305">
        <v>6</v>
      </c>
      <c r="P202" s="2306"/>
      <c r="Q202" s="982" t="str">
        <f>ASIGNATURAS!K287</f>
        <v>Miriam Lorenzo</v>
      </c>
      <c r="R202" s="982"/>
      <c r="S202" s="982"/>
      <c r="T202" s="982"/>
      <c r="U202" s="982"/>
      <c r="V202" s="982"/>
      <c r="W202" s="982"/>
      <c r="X202" s="982"/>
      <c r="Y202" s="982"/>
      <c r="Z202" s="982"/>
      <c r="AA202" s="982"/>
      <c r="AB202" s="982"/>
      <c r="AC202" s="982"/>
      <c r="AD202" s="982"/>
      <c r="AE202" s="983"/>
    </row>
    <row r="203" spans="1:31" ht="15" customHeight="1" x14ac:dyDescent="0.25">
      <c r="A203" s="2245" t="s">
        <v>38</v>
      </c>
      <c r="B203" s="2246"/>
      <c r="C203" s="2261" t="str">
        <f>ASIGNATURAS!I288</f>
        <v>Ingeniería Térmica II</v>
      </c>
      <c r="D203" s="2262"/>
      <c r="E203" s="2262"/>
      <c r="F203" s="2262"/>
      <c r="G203" s="2262"/>
      <c r="H203" s="2262"/>
      <c r="I203" s="2262"/>
      <c r="J203" s="2262"/>
      <c r="K203" s="2262"/>
      <c r="L203" s="2262"/>
      <c r="M203" s="1205">
        <v>7734</v>
      </c>
      <c r="N203" s="1205"/>
      <c r="O203" s="936">
        <v>6</v>
      </c>
      <c r="P203" s="1205"/>
      <c r="Q203" s="982" t="str">
        <f>ASIGNATURAS!K288</f>
        <v>Cristina Alonso Tristán</v>
      </c>
      <c r="R203" s="982"/>
      <c r="S203" s="982"/>
      <c r="T203" s="982"/>
      <c r="U203" s="982"/>
      <c r="V203" s="982"/>
      <c r="W203" s="982"/>
      <c r="X203" s="982"/>
      <c r="Y203" s="982"/>
      <c r="Z203" s="982"/>
      <c r="AA203" s="982"/>
      <c r="AB203" s="982"/>
      <c r="AC203" s="982"/>
      <c r="AD203" s="982"/>
      <c r="AE203" s="983"/>
    </row>
    <row r="204" spans="1:31" ht="15" customHeight="1" x14ac:dyDescent="0.25">
      <c r="A204" s="2245" t="s">
        <v>686</v>
      </c>
      <c r="B204" s="2246"/>
      <c r="C204" s="2261" t="str">
        <f>ASIGNATURAS!I289</f>
        <v>Regulación Automática</v>
      </c>
      <c r="D204" s="2262"/>
      <c r="E204" s="2262"/>
      <c r="F204" s="2262"/>
      <c r="G204" s="2262"/>
      <c r="H204" s="2262"/>
      <c r="I204" s="2262"/>
      <c r="J204" s="2262"/>
      <c r="K204" s="2262"/>
      <c r="L204" s="2262"/>
      <c r="M204" s="1205">
        <v>7741</v>
      </c>
      <c r="N204" s="1205"/>
      <c r="O204" s="936">
        <v>6</v>
      </c>
      <c r="P204" s="1205"/>
      <c r="Q204" s="982" t="str">
        <f>ASIGNATURAS!K289</f>
        <v xml:space="preserve">Jesús Enrique Sierra García, </v>
      </c>
      <c r="R204" s="982"/>
      <c r="S204" s="982"/>
      <c r="T204" s="982"/>
      <c r="U204" s="982"/>
      <c r="V204" s="982"/>
      <c r="W204" s="982"/>
      <c r="X204" s="982"/>
      <c r="Y204" s="982"/>
      <c r="Z204" s="982"/>
      <c r="AA204" s="982"/>
      <c r="AB204" s="982"/>
      <c r="AC204" s="982"/>
      <c r="AD204" s="982"/>
      <c r="AE204" s="983"/>
    </row>
    <row r="205" spans="1:31" ht="15" customHeight="1" x14ac:dyDescent="0.25">
      <c r="A205" s="2245" t="s">
        <v>664</v>
      </c>
      <c r="B205" s="2246"/>
      <c r="C205" s="2261" t="str">
        <f>ASIGNATURAS!I290</f>
        <v>Sistemas Basados en Microprocesadores</v>
      </c>
      <c r="D205" s="2262"/>
      <c r="E205" s="2262"/>
      <c r="F205" s="2262"/>
      <c r="G205" s="2262"/>
      <c r="H205" s="2262"/>
      <c r="I205" s="2262"/>
      <c r="J205" s="2262"/>
      <c r="K205" s="2262"/>
      <c r="L205" s="2262"/>
      <c r="M205" s="1205">
        <v>7742</v>
      </c>
      <c r="N205" s="1205"/>
      <c r="O205" s="936">
        <v>6</v>
      </c>
      <c r="P205" s="1205"/>
      <c r="Q205" s="982" t="str">
        <f>ASIGNATURAS!K290</f>
        <v>Fernando Rívas, Miguel Ángel Cantera</v>
      </c>
      <c r="R205" s="982"/>
      <c r="S205" s="982"/>
      <c r="T205" s="982"/>
      <c r="U205" s="982"/>
      <c r="V205" s="982"/>
      <c r="W205" s="982"/>
      <c r="X205" s="982"/>
      <c r="Y205" s="982"/>
      <c r="Z205" s="982"/>
      <c r="AA205" s="982"/>
      <c r="AB205" s="982"/>
      <c r="AC205" s="982"/>
      <c r="AD205" s="982"/>
      <c r="AE205" s="983"/>
    </row>
    <row r="206" spans="1:31" ht="15" customHeight="1" x14ac:dyDescent="0.25">
      <c r="A206" s="2245" t="s">
        <v>688</v>
      </c>
      <c r="B206" s="2246"/>
      <c r="C206" s="2261" t="str">
        <f>ASIGNATURAS!I291</f>
        <v>Diseño de Máquinas I</v>
      </c>
      <c r="D206" s="2262"/>
      <c r="E206" s="2262"/>
      <c r="F206" s="2262"/>
      <c r="G206" s="2262"/>
      <c r="H206" s="2262"/>
      <c r="I206" s="2262"/>
      <c r="J206" s="2262"/>
      <c r="K206" s="2262"/>
      <c r="L206" s="2262"/>
      <c r="M206" s="1205">
        <v>7743</v>
      </c>
      <c r="N206" s="1205"/>
      <c r="O206" s="936">
        <v>6</v>
      </c>
      <c r="P206" s="1205"/>
      <c r="Q206" s="982" t="str">
        <f>ASIGNATURAS!K291</f>
        <v>Mª José García</v>
      </c>
      <c r="R206" s="982"/>
      <c r="S206" s="982"/>
      <c r="T206" s="982"/>
      <c r="U206" s="982"/>
      <c r="V206" s="982"/>
      <c r="W206" s="982"/>
      <c r="X206" s="982"/>
      <c r="Y206" s="982"/>
      <c r="Z206" s="982"/>
      <c r="AA206" s="982"/>
      <c r="AB206" s="982"/>
      <c r="AC206" s="982"/>
      <c r="AD206" s="982"/>
      <c r="AE206" s="983"/>
    </row>
    <row r="207" spans="1:31" ht="15" x14ac:dyDescent="0.25">
      <c r="A207" s="2245"/>
      <c r="B207" s="2246"/>
      <c r="C207" s="981"/>
      <c r="D207" s="982"/>
      <c r="E207" s="982"/>
      <c r="F207" s="982"/>
      <c r="G207" s="982"/>
      <c r="H207" s="982"/>
      <c r="I207" s="982"/>
      <c r="J207" s="982"/>
      <c r="K207" s="982"/>
      <c r="L207" s="982"/>
      <c r="M207" s="2145"/>
      <c r="N207" s="936"/>
      <c r="O207" s="936"/>
      <c r="P207" s="1205"/>
      <c r="Q207" s="982"/>
      <c r="R207" s="982"/>
      <c r="S207" s="982"/>
      <c r="T207" s="982"/>
      <c r="U207" s="982"/>
      <c r="V207" s="982"/>
      <c r="W207" s="982"/>
      <c r="X207" s="982"/>
      <c r="Y207" s="982"/>
      <c r="Z207" s="982"/>
      <c r="AA207" s="982"/>
      <c r="AB207" s="982"/>
      <c r="AC207" s="982"/>
      <c r="AD207" s="982"/>
      <c r="AE207" s="983"/>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296" t="s">
        <v>773</v>
      </c>
      <c r="B217" s="2297"/>
      <c r="C217" s="2297"/>
      <c r="D217" s="2297"/>
      <c r="E217" s="2297"/>
      <c r="F217" s="2297"/>
      <c r="G217" s="2297"/>
      <c r="H217" s="2297"/>
      <c r="I217" s="2297"/>
      <c r="J217" s="2297"/>
      <c r="K217" s="2297"/>
      <c r="L217" s="2297"/>
      <c r="M217" s="2297"/>
      <c r="N217" s="2297"/>
      <c r="O217" s="2297"/>
      <c r="P217" s="2297"/>
      <c r="Q217" s="2297"/>
      <c r="R217" s="2297"/>
      <c r="S217" s="2297"/>
      <c r="T217" s="2297"/>
      <c r="U217" s="2297"/>
      <c r="V217" s="2297"/>
      <c r="W217" s="2297"/>
      <c r="X217" s="2297"/>
      <c r="Y217" s="2298"/>
      <c r="Z217" s="2254" t="str">
        <f>Aulas!G5</f>
        <v>Curso 2024-2025</v>
      </c>
      <c r="AA217" s="2254"/>
      <c r="AB217" s="2254"/>
      <c r="AC217" s="2254"/>
      <c r="AD217" s="2254"/>
      <c r="AE217" s="2255"/>
    </row>
    <row r="218" spans="1:31" s="8" customFormat="1" ht="23.25" customHeight="1" x14ac:dyDescent="0.4">
      <c r="A218" s="2291" t="s">
        <v>1015</v>
      </c>
      <c r="B218" s="2292"/>
      <c r="C218" s="2292"/>
      <c r="D218" s="2292"/>
      <c r="E218" s="2292"/>
      <c r="F218" s="2292"/>
      <c r="G218" s="2292"/>
      <c r="H218" s="2292"/>
      <c r="I218" s="2292"/>
      <c r="J218" s="2292"/>
      <c r="K218" s="2292"/>
      <c r="L218" s="2292"/>
      <c r="M218" s="2292"/>
      <c r="N218" s="2292"/>
      <c r="O218" s="2292"/>
      <c r="P218" s="2292"/>
      <c r="Q218" s="2292"/>
      <c r="R218" s="2292"/>
      <c r="S218" s="2292"/>
      <c r="T218" s="2292"/>
      <c r="U218" s="2292"/>
      <c r="V218" s="2292"/>
      <c r="W218" s="2292"/>
      <c r="X218" s="2292"/>
      <c r="Y218" s="2293"/>
      <c r="Z218" s="2279" t="s">
        <v>146</v>
      </c>
      <c r="AA218" s="2279"/>
      <c r="AB218" s="2279"/>
      <c r="AC218" s="2279"/>
      <c r="AD218" s="2279"/>
      <c r="AE218" s="2280"/>
    </row>
    <row r="219" spans="1:31" s="8" customFormat="1" ht="23.25" customHeight="1" x14ac:dyDescent="0.4">
      <c r="A219" s="2264" t="s">
        <v>177</v>
      </c>
      <c r="B219" s="2265"/>
      <c r="C219" s="2265"/>
      <c r="D219" s="2265"/>
      <c r="E219" s="2265"/>
      <c r="F219" s="2265"/>
      <c r="G219" s="2265"/>
      <c r="H219" s="2265"/>
      <c r="I219" s="2265"/>
      <c r="J219" s="2265"/>
      <c r="K219" s="2265"/>
      <c r="L219" s="2265"/>
      <c r="M219" s="2265"/>
      <c r="N219" s="2265"/>
      <c r="O219" s="2265"/>
      <c r="P219" s="2265"/>
      <c r="Q219" s="2265"/>
      <c r="R219" s="2265"/>
      <c r="S219" s="2265"/>
      <c r="T219" s="2265"/>
      <c r="U219" s="2265"/>
      <c r="V219" s="2265"/>
      <c r="W219" s="2265"/>
      <c r="X219" s="2265"/>
      <c r="Y219" s="2266"/>
      <c r="Z219" s="2281"/>
      <c r="AA219" s="2281"/>
      <c r="AB219" s="2281"/>
      <c r="AC219" s="2281"/>
      <c r="AD219" s="2281"/>
      <c r="AE219" s="2282"/>
    </row>
    <row r="220" spans="1:31" ht="38.25" customHeight="1" x14ac:dyDescent="0.25">
      <c r="A220" s="23" t="s">
        <v>776</v>
      </c>
    </row>
    <row r="221" spans="1:31" s="2" customFormat="1" ht="24" customHeight="1" thickBot="1" x14ac:dyDescent="0.3">
      <c r="A221" s="165" t="s">
        <v>1</v>
      </c>
      <c r="B221" s="2254" t="s">
        <v>2</v>
      </c>
      <c r="C221" s="2254"/>
      <c r="D221" s="2254"/>
      <c r="E221" s="2254"/>
      <c r="F221" s="2254"/>
      <c r="G221" s="2255"/>
      <c r="H221" s="2254" t="s">
        <v>3</v>
      </c>
      <c r="I221" s="2254"/>
      <c r="J221" s="2254"/>
      <c r="K221" s="2254"/>
      <c r="L221" s="2254"/>
      <c r="M221" s="2255"/>
      <c r="N221" s="2254" t="s">
        <v>135</v>
      </c>
      <c r="O221" s="2254"/>
      <c r="P221" s="2254"/>
      <c r="Q221" s="2254"/>
      <c r="R221" s="2254"/>
      <c r="S221" s="2255"/>
      <c r="T221" s="2254" t="s">
        <v>4</v>
      </c>
      <c r="U221" s="2254"/>
      <c r="V221" s="2254"/>
      <c r="W221" s="2254"/>
      <c r="X221" s="2254"/>
      <c r="Y221" s="2255"/>
      <c r="Z221" s="2254" t="s">
        <v>5</v>
      </c>
      <c r="AA221" s="2254"/>
      <c r="AB221" s="2254"/>
      <c r="AC221" s="2254"/>
      <c r="AD221" s="2254"/>
      <c r="AE221" s="2255"/>
    </row>
    <row r="222" spans="1:31" ht="30" customHeight="1" x14ac:dyDescent="0.3">
      <c r="A222" s="1128" t="s">
        <v>1091</v>
      </c>
      <c r="B222" s="2310" t="s">
        <v>779</v>
      </c>
      <c r="C222" s="2310"/>
      <c r="D222" s="2310"/>
      <c r="E222" s="2310"/>
      <c r="F222" s="2310"/>
      <c r="G222" s="2311"/>
      <c r="H222" s="999"/>
      <c r="I222" s="999"/>
      <c r="J222" s="999"/>
      <c r="K222" s="999"/>
      <c r="L222" s="999"/>
      <c r="M222" s="1110"/>
      <c r="N222" s="995" t="s">
        <v>35</v>
      </c>
      <c r="O222" s="995"/>
      <c r="P222" s="995"/>
      <c r="Q222" s="995"/>
      <c r="R222" s="995"/>
      <c r="S222" s="2253"/>
      <c r="T222" s="999"/>
      <c r="U222" s="999"/>
      <c r="V222" s="999"/>
      <c r="W222" s="999"/>
      <c r="X222" s="999"/>
      <c r="Y222" s="1110"/>
      <c r="Z222" s="995" t="s">
        <v>249</v>
      </c>
      <c r="AA222" s="995"/>
      <c r="AB222" s="995"/>
      <c r="AC222" s="995"/>
      <c r="AD222" s="995"/>
      <c r="AE222" s="2253"/>
    </row>
    <row r="223" spans="1:31" ht="30" customHeight="1" x14ac:dyDescent="0.25">
      <c r="A223" s="1105"/>
      <c r="B223" s="952" t="s">
        <v>146</v>
      </c>
      <c r="C223" s="952"/>
      <c r="D223" s="952"/>
      <c r="E223" s="952"/>
      <c r="F223" s="952"/>
      <c r="G223" s="1047"/>
      <c r="H223" s="1026"/>
      <c r="I223" s="965"/>
      <c r="J223" s="965"/>
      <c r="K223" s="965"/>
      <c r="L223" s="965"/>
      <c r="M223" s="1086"/>
      <c r="N223" s="2260" t="s">
        <v>143</v>
      </c>
      <c r="O223" s="952"/>
      <c r="P223" s="952"/>
      <c r="Q223" s="952"/>
      <c r="R223" s="952"/>
      <c r="S223" s="1047"/>
      <c r="T223" s="1026"/>
      <c r="U223" s="965"/>
      <c r="V223" s="965"/>
      <c r="W223" s="965"/>
      <c r="X223" s="965"/>
      <c r="Y223" s="1086"/>
      <c r="Z223" s="2260" t="s">
        <v>146</v>
      </c>
      <c r="AA223" s="952"/>
      <c r="AB223" s="952"/>
      <c r="AC223" s="952"/>
      <c r="AD223" s="952"/>
      <c r="AE223" s="1047"/>
    </row>
    <row r="224" spans="1:31" ht="30" customHeight="1" x14ac:dyDescent="0.3">
      <c r="A224" s="1100" t="s">
        <v>183</v>
      </c>
      <c r="B224" s="2310" t="s">
        <v>779</v>
      </c>
      <c r="C224" s="2310"/>
      <c r="D224" s="2310"/>
      <c r="E224" s="2310"/>
      <c r="F224" s="2310"/>
      <c r="G224" s="2311"/>
      <c r="H224" s="2308" t="s">
        <v>779</v>
      </c>
      <c r="I224" s="2308"/>
      <c r="J224" s="2308"/>
      <c r="K224" s="2308"/>
      <c r="L224" s="2308"/>
      <c r="M224" s="2309"/>
      <c r="N224" s="995" t="s">
        <v>1330</v>
      </c>
      <c r="O224" s="995"/>
      <c r="P224" s="995"/>
      <c r="Q224" s="995"/>
      <c r="R224" s="995"/>
      <c r="S224" s="2253"/>
      <c r="T224" s="995" t="s">
        <v>778</v>
      </c>
      <c r="U224" s="995"/>
      <c r="V224" s="995"/>
      <c r="W224" s="995"/>
      <c r="X224" s="995"/>
      <c r="Y224" s="2253"/>
      <c r="Z224" s="995" t="s">
        <v>249</v>
      </c>
      <c r="AA224" s="995"/>
      <c r="AB224" s="995"/>
      <c r="AC224" s="995"/>
      <c r="AD224" s="995"/>
      <c r="AE224" s="2253"/>
    </row>
    <row r="225" spans="1:31" ht="30" customHeight="1" x14ac:dyDescent="0.25">
      <c r="A225" s="1105"/>
      <c r="B225" s="952" t="s">
        <v>146</v>
      </c>
      <c r="C225" s="952"/>
      <c r="D225" s="952"/>
      <c r="E225" s="952"/>
      <c r="F225" s="952"/>
      <c r="G225" s="1047"/>
      <c r="H225" s="1109" t="s">
        <v>667</v>
      </c>
      <c r="I225" s="1073"/>
      <c r="J225" s="1073"/>
      <c r="K225" s="1073"/>
      <c r="L225" s="1073"/>
      <c r="M225" s="2250"/>
      <c r="N225" s="2260" t="s">
        <v>146</v>
      </c>
      <c r="O225" s="952"/>
      <c r="P225" s="952"/>
      <c r="Q225" s="952"/>
      <c r="R225" s="952"/>
      <c r="S225" s="1047"/>
      <c r="T225" s="2260" t="s">
        <v>146</v>
      </c>
      <c r="U225" s="952"/>
      <c r="V225" s="952"/>
      <c r="W225" s="952"/>
      <c r="X225" s="952"/>
      <c r="Y225" s="1047"/>
      <c r="Z225" s="2260" t="s">
        <v>146</v>
      </c>
      <c r="AA225" s="952"/>
      <c r="AB225" s="952"/>
      <c r="AC225" s="952"/>
      <c r="AD225" s="952"/>
      <c r="AE225" s="1047"/>
    </row>
    <row r="226" spans="1:31" ht="30" customHeight="1" x14ac:dyDescent="0.3">
      <c r="A226" s="1100" t="s">
        <v>182</v>
      </c>
      <c r="B226" s="987" t="s">
        <v>778</v>
      </c>
      <c r="C226" s="987"/>
      <c r="D226" s="987"/>
      <c r="E226" s="987"/>
      <c r="F226" s="987"/>
      <c r="G226" s="2257"/>
      <c r="H226" s="2307" t="s">
        <v>779</v>
      </c>
      <c r="I226" s="2308"/>
      <c r="J226" s="2308"/>
      <c r="K226" s="2308"/>
      <c r="L226" s="2308"/>
      <c r="M226" s="2309"/>
      <c r="N226" s="995" t="s">
        <v>1330</v>
      </c>
      <c r="O226" s="995"/>
      <c r="P226" s="995"/>
      <c r="Q226" s="995"/>
      <c r="R226" s="995"/>
      <c r="S226" s="2253"/>
      <c r="T226" s="995" t="s">
        <v>778</v>
      </c>
      <c r="U226" s="995"/>
      <c r="V226" s="995"/>
      <c r="W226" s="995"/>
      <c r="X226" s="995"/>
      <c r="Y226" s="2253"/>
      <c r="Z226" s="1083"/>
      <c r="AA226" s="1020"/>
      <c r="AB226" s="1020"/>
      <c r="AC226" s="1020"/>
      <c r="AD226" s="1020"/>
      <c r="AE226" s="1021"/>
    </row>
    <row r="227" spans="1:31" ht="30" customHeight="1" x14ac:dyDescent="0.25">
      <c r="A227" s="1105"/>
      <c r="B227" s="1073" t="s">
        <v>146</v>
      </c>
      <c r="C227" s="1073"/>
      <c r="D227" s="1073"/>
      <c r="E227" s="1073"/>
      <c r="F227" s="1073"/>
      <c r="G227" s="2250"/>
      <c r="H227" s="1109" t="s">
        <v>667</v>
      </c>
      <c r="I227" s="1073"/>
      <c r="J227" s="1073"/>
      <c r="K227" s="1073"/>
      <c r="L227" s="1073"/>
      <c r="M227" s="2250"/>
      <c r="N227" s="2260" t="s">
        <v>146</v>
      </c>
      <c r="O227" s="952"/>
      <c r="P227" s="952"/>
      <c r="Q227" s="952"/>
      <c r="R227" s="952"/>
      <c r="S227" s="1047"/>
      <c r="T227" s="2260" t="s">
        <v>146</v>
      </c>
      <c r="U227" s="952"/>
      <c r="V227" s="952"/>
      <c r="W227" s="952"/>
      <c r="X227" s="952"/>
      <c r="Y227" s="1047"/>
      <c r="Z227" s="965"/>
      <c r="AA227" s="965"/>
      <c r="AB227" s="965"/>
      <c r="AC227" s="965"/>
      <c r="AD227" s="965"/>
      <c r="AE227" s="1086"/>
    </row>
    <row r="228" spans="1:31" ht="30" customHeight="1" x14ac:dyDescent="0.3">
      <c r="A228" s="1100" t="s">
        <v>184</v>
      </c>
      <c r="B228" s="1147" t="s">
        <v>778</v>
      </c>
      <c r="C228" s="987"/>
      <c r="D228" s="987"/>
      <c r="E228" s="987"/>
      <c r="F228" s="987"/>
      <c r="G228" s="2257"/>
      <c r="H228" s="1083"/>
      <c r="I228" s="1020"/>
      <c r="J228" s="1020"/>
      <c r="K228" s="1020"/>
      <c r="L228" s="1020"/>
      <c r="M228" s="1021"/>
      <c r="N228" s="1096" t="s">
        <v>35</v>
      </c>
      <c r="O228" s="1096"/>
      <c r="P228" s="1096"/>
      <c r="Q228" s="1096"/>
      <c r="R228" s="1096"/>
      <c r="S228" s="2256"/>
      <c r="T228" s="1147" t="s">
        <v>1330</v>
      </c>
      <c r="U228" s="987"/>
      <c r="V228" s="987"/>
      <c r="W228" s="987"/>
      <c r="X228" s="987"/>
      <c r="Y228" s="2257"/>
      <c r="Z228" s="1083"/>
      <c r="AA228" s="1020"/>
      <c r="AB228" s="1020"/>
      <c r="AC228" s="1020"/>
      <c r="AD228" s="1020"/>
      <c r="AE228" s="1021"/>
    </row>
    <row r="229" spans="1:31" ht="30" customHeight="1" x14ac:dyDescent="0.25">
      <c r="A229" s="1105"/>
      <c r="B229" s="1073" t="s">
        <v>146</v>
      </c>
      <c r="C229" s="1073"/>
      <c r="D229" s="1073"/>
      <c r="E229" s="1073"/>
      <c r="F229" s="1073"/>
      <c r="G229" s="2250"/>
      <c r="H229" s="1026"/>
      <c r="I229" s="965"/>
      <c r="J229" s="965"/>
      <c r="K229" s="965"/>
      <c r="L229" s="965"/>
      <c r="M229" s="1086"/>
      <c r="N229" s="1109" t="s">
        <v>143</v>
      </c>
      <c r="O229" s="1073"/>
      <c r="P229" s="1073"/>
      <c r="Q229" s="1073"/>
      <c r="R229" s="1073"/>
      <c r="S229" s="2250"/>
      <c r="T229" s="1109" t="s">
        <v>476</v>
      </c>
      <c r="U229" s="1073"/>
      <c r="V229" s="1073"/>
      <c r="W229" s="1073"/>
      <c r="X229" s="1073"/>
      <c r="Y229" s="2250"/>
      <c r="Z229" s="965"/>
      <c r="AA229" s="965"/>
      <c r="AB229" s="965"/>
      <c r="AC229" s="965"/>
      <c r="AD229" s="965"/>
      <c r="AE229" s="1086"/>
    </row>
    <row r="230" spans="1:31" ht="30" customHeight="1" x14ac:dyDescent="0.3">
      <c r="A230" s="1100" t="s">
        <v>185</v>
      </c>
      <c r="B230" s="1147" t="s">
        <v>249</v>
      </c>
      <c r="C230" s="987"/>
      <c r="D230" s="987"/>
      <c r="E230" s="987"/>
      <c r="F230" s="987"/>
      <c r="G230" s="2257"/>
      <c r="H230" s="1083"/>
      <c r="I230" s="1020"/>
      <c r="J230" s="1020"/>
      <c r="K230" s="1020"/>
      <c r="L230" s="1020"/>
      <c r="M230" s="1021"/>
      <c r="N230" s="1096" t="s">
        <v>35</v>
      </c>
      <c r="O230" s="1096"/>
      <c r="P230" s="1096"/>
      <c r="Q230" s="1096"/>
      <c r="R230" s="1096"/>
      <c r="S230" s="2256"/>
      <c r="T230" s="1147" t="s">
        <v>1330</v>
      </c>
      <c r="U230" s="987"/>
      <c r="V230" s="987"/>
      <c r="W230" s="987"/>
      <c r="X230" s="987"/>
      <c r="Y230" s="2257"/>
      <c r="Z230" s="1083"/>
      <c r="AA230" s="1020"/>
      <c r="AB230" s="1020"/>
      <c r="AC230" s="1020"/>
      <c r="AD230" s="1020"/>
      <c r="AE230" s="1021"/>
    </row>
    <row r="231" spans="1:31" ht="30" customHeight="1" x14ac:dyDescent="0.25">
      <c r="A231" s="1105"/>
      <c r="B231" s="1109" t="s">
        <v>667</v>
      </c>
      <c r="C231" s="1073"/>
      <c r="D231" s="1073"/>
      <c r="E231" s="1073"/>
      <c r="F231" s="1073"/>
      <c r="G231" s="2250"/>
      <c r="H231" s="1026"/>
      <c r="I231" s="965"/>
      <c r="J231" s="965"/>
      <c r="K231" s="965"/>
      <c r="L231" s="965"/>
      <c r="M231" s="1086"/>
      <c r="N231" s="1109" t="s">
        <v>143</v>
      </c>
      <c r="O231" s="1073"/>
      <c r="P231" s="1073"/>
      <c r="Q231" s="1073"/>
      <c r="R231" s="1073"/>
      <c r="S231" s="2250"/>
      <c r="T231" s="1109" t="s">
        <v>476</v>
      </c>
      <c r="U231" s="1073"/>
      <c r="V231" s="1073"/>
      <c r="W231" s="1073"/>
      <c r="X231" s="1073"/>
      <c r="Y231" s="2250"/>
      <c r="Z231" s="1026"/>
      <c r="AA231" s="965"/>
      <c r="AB231" s="965"/>
      <c r="AC231" s="965"/>
      <c r="AD231" s="965"/>
      <c r="AE231" s="1086"/>
    </row>
    <row r="232" spans="1:31" ht="30" customHeight="1" x14ac:dyDescent="0.3">
      <c r="A232" s="1100" t="s">
        <v>186</v>
      </c>
      <c r="B232" s="1147" t="s">
        <v>249</v>
      </c>
      <c r="C232" s="987"/>
      <c r="D232" s="987"/>
      <c r="E232" s="987"/>
      <c r="F232" s="987"/>
      <c r="G232" s="2257"/>
      <c r="H232" s="1083"/>
      <c r="I232" s="1020"/>
      <c r="J232" s="1020"/>
      <c r="K232" s="1020"/>
      <c r="L232" s="1020"/>
      <c r="M232" s="1021"/>
      <c r="N232" s="1096" t="s">
        <v>35</v>
      </c>
      <c r="O232" s="1096"/>
      <c r="P232" s="1096"/>
      <c r="Q232" s="1096"/>
      <c r="R232" s="1096"/>
      <c r="S232" s="2256"/>
      <c r="T232" s="1083"/>
      <c r="U232" s="1020"/>
      <c r="V232" s="1020"/>
      <c r="W232" s="1020"/>
      <c r="X232" s="1020"/>
      <c r="Y232" s="1021"/>
      <c r="Z232" s="999"/>
      <c r="AA232" s="999"/>
      <c r="AB232" s="999"/>
      <c r="AC232" s="999"/>
      <c r="AD232" s="999"/>
      <c r="AE232" s="1110"/>
    </row>
    <row r="233" spans="1:31" ht="30" customHeight="1" x14ac:dyDescent="0.25">
      <c r="A233" s="1105"/>
      <c r="B233" s="1109" t="s">
        <v>667</v>
      </c>
      <c r="C233" s="1073"/>
      <c r="D233" s="1073"/>
      <c r="E233" s="1073"/>
      <c r="F233" s="1073"/>
      <c r="G233" s="2250"/>
      <c r="H233" s="1026"/>
      <c r="I233" s="965"/>
      <c r="J233" s="965"/>
      <c r="K233" s="965"/>
      <c r="L233" s="965"/>
      <c r="M233" s="1086"/>
      <c r="N233" s="1109" t="s">
        <v>143</v>
      </c>
      <c r="O233" s="1073"/>
      <c r="P233" s="1073"/>
      <c r="Q233" s="1073"/>
      <c r="R233" s="1073"/>
      <c r="S233" s="2250"/>
      <c r="T233" s="1026"/>
      <c r="U233" s="965"/>
      <c r="V233" s="965"/>
      <c r="W233" s="965"/>
      <c r="X233" s="965"/>
      <c r="Y233" s="1086"/>
      <c r="Z233" s="965"/>
      <c r="AA233" s="965"/>
      <c r="AB233" s="965"/>
      <c r="AC233" s="965"/>
      <c r="AD233" s="965"/>
      <c r="AE233" s="1086"/>
    </row>
    <row r="234" spans="1:31" x14ac:dyDescent="0.25">
      <c r="P234" s="327"/>
      <c r="Q234" s="327"/>
      <c r="S234" s="327"/>
    </row>
    <row r="235" spans="1:31" ht="15" x14ac:dyDescent="0.25">
      <c r="A235" s="731" t="s">
        <v>214</v>
      </c>
      <c r="B235" s="732"/>
      <c r="C235" s="2272" t="s">
        <v>215</v>
      </c>
      <c r="D235" s="2272"/>
      <c r="E235" s="2272"/>
      <c r="F235" s="2272"/>
      <c r="G235" s="2272"/>
      <c r="H235" s="2272"/>
      <c r="I235" s="2272"/>
      <c r="J235" s="2272"/>
      <c r="K235" s="2272"/>
      <c r="L235" s="166"/>
      <c r="M235" s="2267" t="s">
        <v>618</v>
      </c>
      <c r="N235" s="2268"/>
      <c r="O235" s="2272" t="s">
        <v>139</v>
      </c>
      <c r="P235" s="2274"/>
      <c r="Q235" s="2272" t="s">
        <v>163</v>
      </c>
      <c r="R235" s="2272"/>
      <c r="S235" s="2272"/>
      <c r="T235" s="2272"/>
      <c r="U235" s="2272"/>
      <c r="V235" s="2272"/>
      <c r="W235" s="2272"/>
      <c r="X235" s="2272"/>
      <c r="Y235" s="2272"/>
      <c r="Z235" s="2272"/>
      <c r="AA235" s="2272"/>
      <c r="AB235" s="2272"/>
      <c r="AC235" s="2272"/>
      <c r="AD235" s="2272"/>
      <c r="AE235" s="2274"/>
    </row>
    <row r="236" spans="1:31" ht="15" customHeight="1" x14ac:dyDescent="0.25">
      <c r="A236" s="2245" t="s">
        <v>777</v>
      </c>
      <c r="B236" s="2246"/>
      <c r="C236" s="2261" t="str">
        <f>ASIGNATURAS!I292</f>
        <v>Tecnología Mecánica I</v>
      </c>
      <c r="D236" s="2262"/>
      <c r="E236" s="2262"/>
      <c r="F236" s="2262"/>
      <c r="G236" s="2262"/>
      <c r="H236" s="2262"/>
      <c r="I236" s="2262"/>
      <c r="J236" s="2262"/>
      <c r="K236" s="2262"/>
      <c r="L236" s="2262"/>
      <c r="M236" s="1205">
        <v>7749</v>
      </c>
      <c r="N236" s="1205"/>
      <c r="O236" s="2305">
        <v>6</v>
      </c>
      <c r="P236" s="2306"/>
      <c r="Q236" s="981" t="str">
        <f>ASIGNATURAS!K292</f>
        <v>Miriam Lorenzo Bañuelos</v>
      </c>
      <c r="R236" s="982"/>
      <c r="S236" s="982"/>
      <c r="T236" s="982"/>
      <c r="U236" s="982"/>
      <c r="V236" s="982"/>
      <c r="W236" s="982"/>
      <c r="X236" s="982"/>
      <c r="Y236" s="982"/>
      <c r="Z236" s="982"/>
      <c r="AA236" s="982"/>
      <c r="AB236" s="982"/>
      <c r="AC236" s="982"/>
      <c r="AD236" s="982"/>
      <c r="AE236" s="982"/>
    </row>
    <row r="237" spans="1:31" ht="15" customHeight="1" x14ac:dyDescent="0.25">
      <c r="A237" s="2245" t="s">
        <v>778</v>
      </c>
      <c r="B237" s="2246"/>
      <c r="C237" s="2261" t="str">
        <f>ASIGNATURAS!I293</f>
        <v>Diseño de Máquinas II</v>
      </c>
      <c r="D237" s="2262"/>
      <c r="E237" s="2262"/>
      <c r="F237" s="2262"/>
      <c r="G237" s="2262"/>
      <c r="H237" s="2262"/>
      <c r="I237" s="2262"/>
      <c r="J237" s="2262"/>
      <c r="K237" s="2262"/>
      <c r="L237" s="2262"/>
      <c r="M237" s="1205">
        <v>7745</v>
      </c>
      <c r="N237" s="1205"/>
      <c r="O237" s="936">
        <v>6</v>
      </c>
      <c r="P237" s="1205"/>
      <c r="Q237" s="981" t="str">
        <f>ASIGNATURAS!K293</f>
        <v>Alberto Martínez Martínez</v>
      </c>
      <c r="R237" s="982"/>
      <c r="S237" s="982"/>
      <c r="T237" s="982"/>
      <c r="U237" s="982"/>
      <c r="V237" s="982"/>
      <c r="W237" s="982"/>
      <c r="X237" s="982"/>
      <c r="Y237" s="982"/>
      <c r="Z237" s="982"/>
      <c r="AA237" s="982"/>
      <c r="AB237" s="982"/>
      <c r="AC237" s="982"/>
      <c r="AD237" s="982"/>
      <c r="AE237" s="982"/>
    </row>
    <row r="238" spans="1:31" ht="15" customHeight="1" x14ac:dyDescent="0.25">
      <c r="A238" s="2245" t="s">
        <v>779</v>
      </c>
      <c r="B238" s="2246"/>
      <c r="C238" s="2261" t="str">
        <f>ASIGNATURAS!I294</f>
        <v>Instrumentación Electrónica</v>
      </c>
      <c r="D238" s="2262"/>
      <c r="E238" s="2262"/>
      <c r="F238" s="2262"/>
      <c r="G238" s="2262"/>
      <c r="H238" s="2262"/>
      <c r="I238" s="2262"/>
      <c r="J238" s="2262"/>
      <c r="K238" s="2262"/>
      <c r="L238" s="2262"/>
      <c r="M238" s="1205">
        <v>7746</v>
      </c>
      <c r="N238" s="1205"/>
      <c r="O238" s="936">
        <v>6</v>
      </c>
      <c r="P238" s="1205"/>
      <c r="Q238" s="981" t="str">
        <f>ASIGNATURAS!K294</f>
        <v>Ignacio Moreno Velasco</v>
      </c>
      <c r="R238" s="982"/>
      <c r="S238" s="982"/>
      <c r="T238" s="982"/>
      <c r="U238" s="982"/>
      <c r="V238" s="982"/>
      <c r="W238" s="982"/>
      <c r="X238" s="982"/>
      <c r="Y238" s="982"/>
      <c r="Z238" s="982"/>
      <c r="AA238" s="982"/>
      <c r="AB238" s="982"/>
      <c r="AC238" s="982"/>
      <c r="AD238" s="982"/>
      <c r="AE238" s="982"/>
    </row>
    <row r="239" spans="1:31" ht="15" customHeight="1" x14ac:dyDescent="0.25">
      <c r="A239" s="2245" t="s">
        <v>780</v>
      </c>
      <c r="B239" s="2246"/>
      <c r="C239" s="2261" t="str">
        <f>ASIGNATURAS!I295</f>
        <v>Ingeniería Gráfica</v>
      </c>
      <c r="D239" s="2262"/>
      <c r="E239" s="2262"/>
      <c r="F239" s="2262"/>
      <c r="G239" s="2262"/>
      <c r="H239" s="2262"/>
      <c r="I239" s="2262"/>
      <c r="J239" s="2262"/>
      <c r="K239" s="2262"/>
      <c r="L239" s="2262"/>
      <c r="M239" s="1205">
        <v>7747</v>
      </c>
      <c r="N239" s="1205"/>
      <c r="O239" s="936">
        <v>6</v>
      </c>
      <c r="P239" s="1205"/>
      <c r="Q239" s="981" t="str">
        <f>ASIGNATURAS!K295</f>
        <v xml:space="preserve">Elías Martínez, </v>
      </c>
      <c r="R239" s="982"/>
      <c r="S239" s="982"/>
      <c r="T239" s="982"/>
      <c r="U239" s="982"/>
      <c r="V239" s="982"/>
      <c r="W239" s="982"/>
      <c r="X239" s="982"/>
      <c r="Y239" s="982"/>
      <c r="Z239" s="982"/>
      <c r="AA239" s="982"/>
      <c r="AB239" s="982"/>
      <c r="AC239" s="982"/>
      <c r="AD239" s="982"/>
      <c r="AE239" s="982"/>
    </row>
    <row r="240" spans="1:31" ht="15" customHeight="1" x14ac:dyDescent="0.25">
      <c r="A240" s="2245" t="s">
        <v>785</v>
      </c>
      <c r="B240" s="2246"/>
      <c r="C240" s="2261" t="str">
        <f>ASIGNATURAS!I296</f>
        <v>Tecnología de los Sistemas Electrónicos</v>
      </c>
      <c r="D240" s="2262"/>
      <c r="E240" s="2262"/>
      <c r="F240" s="2262"/>
      <c r="G240" s="2262"/>
      <c r="H240" s="2262"/>
      <c r="I240" s="2262"/>
      <c r="J240" s="2262"/>
      <c r="K240" s="2262"/>
      <c r="L240" s="2262"/>
      <c r="M240" s="1205">
        <v>7748</v>
      </c>
      <c r="N240" s="1205"/>
      <c r="O240" s="936">
        <v>6</v>
      </c>
      <c r="P240" s="1205"/>
      <c r="Q240" s="981" t="str">
        <f>ASIGNATURAS!K296</f>
        <v xml:space="preserve">Jose Mª Cámara, Guzmán Moreno </v>
      </c>
      <c r="R240" s="982"/>
      <c r="S240" s="982"/>
      <c r="T240" s="982"/>
      <c r="U240" s="982"/>
      <c r="V240" s="982"/>
      <c r="W240" s="982"/>
      <c r="X240" s="982"/>
      <c r="Y240" s="982"/>
      <c r="Z240" s="982"/>
      <c r="AA240" s="982"/>
      <c r="AB240" s="982"/>
      <c r="AC240" s="982"/>
      <c r="AD240" s="982"/>
      <c r="AE240" s="982"/>
    </row>
    <row r="241" spans="1:31" ht="15" x14ac:dyDescent="0.25">
      <c r="A241" s="2245"/>
      <c r="B241" s="2246"/>
      <c r="C241" s="2261"/>
      <c r="D241" s="2262"/>
      <c r="E241" s="2262"/>
      <c r="F241" s="2262"/>
      <c r="G241" s="2262"/>
      <c r="H241" s="2262"/>
      <c r="I241" s="2262"/>
      <c r="J241" s="2262"/>
      <c r="K241" s="2262"/>
      <c r="L241" s="2262"/>
      <c r="M241" s="1205"/>
      <c r="N241" s="1205"/>
      <c r="O241" s="936"/>
      <c r="P241" s="1205"/>
      <c r="Q241" s="981"/>
      <c r="R241" s="982"/>
      <c r="S241" s="982"/>
      <c r="T241" s="982"/>
      <c r="U241" s="982"/>
      <c r="V241" s="982"/>
      <c r="W241" s="982"/>
      <c r="X241" s="982"/>
      <c r="Y241" s="982"/>
      <c r="Z241" s="982"/>
      <c r="AA241" s="982"/>
      <c r="AB241" s="982"/>
      <c r="AC241" s="982"/>
      <c r="AD241" s="982"/>
      <c r="AE241" s="982"/>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6" t="s">
        <v>773</v>
      </c>
      <c r="B251" s="2297"/>
      <c r="C251" s="2297"/>
      <c r="D251" s="2297"/>
      <c r="E251" s="2297"/>
      <c r="F251" s="2297"/>
      <c r="G251" s="2297"/>
      <c r="H251" s="2297"/>
      <c r="I251" s="2297"/>
      <c r="J251" s="2297"/>
      <c r="K251" s="2297"/>
      <c r="L251" s="2297"/>
      <c r="M251" s="2297"/>
      <c r="N251" s="2297"/>
      <c r="O251" s="2297"/>
      <c r="P251" s="2297"/>
      <c r="Q251" s="2297"/>
      <c r="R251" s="2297"/>
      <c r="S251" s="2297"/>
      <c r="T251" s="2297"/>
      <c r="U251" s="2297"/>
      <c r="V251" s="2297"/>
      <c r="W251" s="2297"/>
      <c r="X251" s="2297"/>
      <c r="Y251" s="2298"/>
      <c r="Z251" s="2254" t="str">
        <f>Aulas!G5</f>
        <v>Curso 2024-2025</v>
      </c>
      <c r="AA251" s="2254"/>
      <c r="AB251" s="2254"/>
      <c r="AC251" s="2254"/>
      <c r="AD251" s="2254"/>
      <c r="AE251" s="2255"/>
    </row>
    <row r="252" spans="1:31" s="8" customFormat="1" ht="23.25" customHeight="1" x14ac:dyDescent="0.4">
      <c r="A252" s="2291" t="s">
        <v>1016</v>
      </c>
      <c r="B252" s="2292"/>
      <c r="C252" s="2292"/>
      <c r="D252" s="2292"/>
      <c r="E252" s="2292"/>
      <c r="F252" s="2292"/>
      <c r="G252" s="2292"/>
      <c r="H252" s="2292"/>
      <c r="I252" s="2292"/>
      <c r="J252" s="2292"/>
      <c r="K252" s="2292"/>
      <c r="L252" s="2292"/>
      <c r="M252" s="2292"/>
      <c r="N252" s="2292"/>
      <c r="O252" s="2292"/>
      <c r="P252" s="2292"/>
      <c r="Q252" s="2292"/>
      <c r="R252" s="2292"/>
      <c r="S252" s="2292"/>
      <c r="T252" s="2292"/>
      <c r="U252" s="2292"/>
      <c r="V252" s="2292"/>
      <c r="W252" s="2292"/>
      <c r="X252" s="2292"/>
      <c r="Y252" s="2293"/>
      <c r="Z252" s="2279" t="s">
        <v>153</v>
      </c>
      <c r="AA252" s="2279"/>
      <c r="AB252" s="2279"/>
      <c r="AC252" s="2279"/>
      <c r="AD252" s="2279"/>
      <c r="AE252" s="2280"/>
    </row>
    <row r="253" spans="1:31" s="8" customFormat="1" ht="23.25" customHeight="1" x14ac:dyDescent="0.4">
      <c r="A253" s="2264" t="s">
        <v>177</v>
      </c>
      <c r="B253" s="2265"/>
      <c r="C253" s="2265"/>
      <c r="D253" s="2265"/>
      <c r="E253" s="2265"/>
      <c r="F253" s="2265"/>
      <c r="G253" s="2265"/>
      <c r="H253" s="2265"/>
      <c r="I253" s="2265"/>
      <c r="J253" s="2265"/>
      <c r="K253" s="2265"/>
      <c r="L253" s="2265"/>
      <c r="M253" s="2265"/>
      <c r="N253" s="2265"/>
      <c r="O253" s="2265"/>
      <c r="P253" s="2265"/>
      <c r="Q253" s="2265"/>
      <c r="R253" s="2265"/>
      <c r="S253" s="2265"/>
      <c r="T253" s="2265"/>
      <c r="U253" s="2265"/>
      <c r="V253" s="2265"/>
      <c r="W253" s="2265"/>
      <c r="X253" s="2265"/>
      <c r="Y253" s="2266"/>
      <c r="Z253" s="2281"/>
      <c r="AA253" s="2281"/>
      <c r="AB253" s="2281"/>
      <c r="AC253" s="2281"/>
      <c r="AD253" s="2281"/>
      <c r="AE253" s="2282"/>
    </row>
    <row r="254" spans="1:31" ht="38.25" customHeight="1" x14ac:dyDescent="0.25">
      <c r="A254" s="23" t="s">
        <v>775</v>
      </c>
    </row>
    <row r="255" spans="1:31" s="2" customFormat="1" ht="24" customHeight="1" thickBot="1" x14ac:dyDescent="0.3">
      <c r="A255" s="165" t="s">
        <v>1</v>
      </c>
      <c r="B255" s="2254" t="s">
        <v>2</v>
      </c>
      <c r="C255" s="2254"/>
      <c r="D255" s="2254"/>
      <c r="E255" s="2254"/>
      <c r="F255" s="2254"/>
      <c r="G255" s="2255"/>
      <c r="H255" s="2254" t="s">
        <v>3</v>
      </c>
      <c r="I255" s="2254"/>
      <c r="J255" s="2254"/>
      <c r="K255" s="2254"/>
      <c r="L255" s="2254"/>
      <c r="M255" s="2255"/>
      <c r="N255" s="2254" t="s">
        <v>135</v>
      </c>
      <c r="O255" s="2254"/>
      <c r="P255" s="2254"/>
      <c r="Q255" s="2254"/>
      <c r="R255" s="2254"/>
      <c r="S255" s="2255"/>
      <c r="T255" s="2254" t="s">
        <v>4</v>
      </c>
      <c r="U255" s="2254"/>
      <c r="V255" s="2254"/>
      <c r="W255" s="2254"/>
      <c r="X255" s="2254"/>
      <c r="Y255" s="2255"/>
      <c r="Z255" s="2254" t="s">
        <v>5</v>
      </c>
      <c r="AA255" s="2254"/>
      <c r="AB255" s="2254"/>
      <c r="AC255" s="2254"/>
      <c r="AD255" s="2254"/>
      <c r="AE255" s="2255"/>
    </row>
    <row r="256" spans="1:31" ht="30" customHeight="1" x14ac:dyDescent="0.3">
      <c r="A256" s="1128" t="s">
        <v>1091</v>
      </c>
      <c r="B256" s="1096" t="s">
        <v>784</v>
      </c>
      <c r="C256" s="1096"/>
      <c r="D256" s="1096"/>
      <c r="E256" s="1096"/>
      <c r="F256" s="1096"/>
      <c r="G256" s="2256"/>
      <c r="H256" s="1096" t="s">
        <v>41</v>
      </c>
      <c r="I256" s="1096"/>
      <c r="J256" s="1096"/>
      <c r="K256" s="1096"/>
      <c r="L256" s="1096"/>
      <c r="M256" s="2256"/>
      <c r="N256" s="995" t="s">
        <v>83</v>
      </c>
      <c r="O256" s="995"/>
      <c r="P256" s="995"/>
      <c r="Q256" s="995"/>
      <c r="R256" s="995"/>
      <c r="S256" s="2253"/>
      <c r="T256" s="999"/>
      <c r="U256" s="999"/>
      <c r="V256" s="999"/>
      <c r="W256" s="999"/>
      <c r="X256" s="999"/>
      <c r="Y256" s="1110"/>
      <c r="Z256" s="995" t="s">
        <v>41</v>
      </c>
      <c r="AA256" s="995"/>
      <c r="AB256" s="995"/>
      <c r="AC256" s="995"/>
      <c r="AD256" s="995"/>
      <c r="AE256" s="2253"/>
    </row>
    <row r="257" spans="1:42" ht="30" customHeight="1" x14ac:dyDescent="0.25">
      <c r="A257" s="1105"/>
      <c r="B257" s="1073" t="s">
        <v>153</v>
      </c>
      <c r="C257" s="1073"/>
      <c r="D257" s="1073"/>
      <c r="E257" s="1073"/>
      <c r="F257" s="1073"/>
      <c r="G257" s="2250"/>
      <c r="H257" s="1073" t="s">
        <v>619</v>
      </c>
      <c r="I257" s="1073"/>
      <c r="J257" s="1073"/>
      <c r="K257" s="1073"/>
      <c r="L257" s="1073"/>
      <c r="M257" s="2250"/>
      <c r="N257" s="952" t="s">
        <v>153</v>
      </c>
      <c r="O257" s="952"/>
      <c r="P257" s="952"/>
      <c r="Q257" s="952"/>
      <c r="R257" s="952"/>
      <c r="S257" s="1047"/>
      <c r="T257" s="965"/>
      <c r="U257" s="965"/>
      <c r="V257" s="965"/>
      <c r="W257" s="965"/>
      <c r="X257" s="965"/>
      <c r="Y257" s="1086"/>
      <c r="Z257" s="952" t="s">
        <v>619</v>
      </c>
      <c r="AA257" s="952"/>
      <c r="AB257" s="952"/>
      <c r="AC257" s="952"/>
      <c r="AD257" s="952"/>
      <c r="AE257" s="1047"/>
    </row>
    <row r="258" spans="1:42" ht="30" customHeight="1" x14ac:dyDescent="0.3">
      <c r="A258" s="1100" t="s">
        <v>183</v>
      </c>
      <c r="B258" s="986" t="s">
        <v>784</v>
      </c>
      <c r="C258" s="987"/>
      <c r="D258" s="987"/>
      <c r="E258" s="987"/>
      <c r="F258" s="987"/>
      <c r="G258" s="2257"/>
      <c r="H258" s="1096" t="s">
        <v>41</v>
      </c>
      <c r="I258" s="1096"/>
      <c r="J258" s="1096"/>
      <c r="K258" s="1096"/>
      <c r="L258" s="1096"/>
      <c r="M258" s="2256"/>
      <c r="N258" s="995" t="s">
        <v>83</v>
      </c>
      <c r="O258" s="995"/>
      <c r="P258" s="995"/>
      <c r="Q258" s="995"/>
      <c r="R258" s="995"/>
      <c r="S258" s="2253"/>
      <c r="T258" s="999"/>
      <c r="U258" s="999"/>
      <c r="V258" s="999"/>
      <c r="W258" s="999"/>
      <c r="X258" s="999"/>
      <c r="Y258" s="1110"/>
      <c r="Z258" s="995" t="s">
        <v>41</v>
      </c>
      <c r="AA258" s="995"/>
      <c r="AB258" s="995"/>
      <c r="AC258" s="995"/>
      <c r="AD258" s="995"/>
      <c r="AE258" s="2253"/>
    </row>
    <row r="259" spans="1:42" ht="30" customHeight="1" x14ac:dyDescent="0.25">
      <c r="A259" s="1105"/>
      <c r="B259" s="1072" t="s">
        <v>153</v>
      </c>
      <c r="C259" s="1073"/>
      <c r="D259" s="1073"/>
      <c r="E259" s="1073"/>
      <c r="F259" s="1073"/>
      <c r="G259" s="2250"/>
      <c r="H259" s="1073" t="s">
        <v>619</v>
      </c>
      <c r="I259" s="1073"/>
      <c r="J259" s="1073"/>
      <c r="K259" s="1073"/>
      <c r="L259" s="1073"/>
      <c r="M259" s="2250"/>
      <c r="N259" s="952" t="s">
        <v>153</v>
      </c>
      <c r="O259" s="952"/>
      <c r="P259" s="952"/>
      <c r="Q259" s="952"/>
      <c r="R259" s="952"/>
      <c r="S259" s="1047"/>
      <c r="T259" s="965"/>
      <c r="U259" s="965"/>
      <c r="V259" s="965"/>
      <c r="W259" s="965"/>
      <c r="X259" s="965"/>
      <c r="Y259" s="1086"/>
      <c r="Z259" s="952" t="s">
        <v>619</v>
      </c>
      <c r="AA259" s="952"/>
      <c r="AB259" s="952"/>
      <c r="AC259" s="952"/>
      <c r="AD259" s="952"/>
      <c r="AE259" s="1047"/>
      <c r="AJ259" s="20"/>
    </row>
    <row r="260" spans="1:42" ht="30" customHeight="1" x14ac:dyDescent="0.3">
      <c r="A260" s="1100" t="s">
        <v>182</v>
      </c>
      <c r="B260" s="995" t="s">
        <v>782</v>
      </c>
      <c r="C260" s="995"/>
      <c r="D260" s="995"/>
      <c r="E260" s="995"/>
      <c r="F260" s="995"/>
      <c r="G260" s="2253"/>
      <c r="H260" s="995" t="s">
        <v>784</v>
      </c>
      <c r="I260" s="995"/>
      <c r="J260" s="995"/>
      <c r="K260" s="995"/>
      <c r="L260" s="995"/>
      <c r="M260" s="2253"/>
      <c r="N260" s="1096" t="s">
        <v>39</v>
      </c>
      <c r="O260" s="1096"/>
      <c r="P260" s="1096"/>
      <c r="Q260" s="1096"/>
      <c r="R260" s="1096"/>
      <c r="S260" s="2256"/>
      <c r="T260" s="1096" t="s">
        <v>83</v>
      </c>
      <c r="U260" s="1096"/>
      <c r="V260" s="1096"/>
      <c r="W260" s="1096"/>
      <c r="X260" s="1096"/>
      <c r="Y260" s="2256"/>
      <c r="Z260" s="999"/>
      <c r="AA260" s="999"/>
      <c r="AB260" s="999"/>
      <c r="AC260" s="999"/>
      <c r="AD260" s="999"/>
      <c r="AE260" s="1110"/>
      <c r="AK260" s="2269"/>
      <c r="AL260" s="2269"/>
      <c r="AM260" s="2269"/>
      <c r="AN260" s="2269"/>
      <c r="AO260" s="2269"/>
      <c r="AP260" s="2269"/>
    </row>
    <row r="261" spans="1:42" ht="30" customHeight="1" x14ac:dyDescent="0.3">
      <c r="A261" s="1105"/>
      <c r="B261" s="952" t="s">
        <v>153</v>
      </c>
      <c r="C261" s="952"/>
      <c r="D261" s="952"/>
      <c r="E261" s="952"/>
      <c r="F261" s="952"/>
      <c r="G261" s="1047"/>
      <c r="H261" s="952" t="s">
        <v>153</v>
      </c>
      <c r="I261" s="952"/>
      <c r="J261" s="952"/>
      <c r="K261" s="952"/>
      <c r="L261" s="952"/>
      <c r="M261" s="1047"/>
      <c r="N261" s="1073" t="s">
        <v>153</v>
      </c>
      <c r="O261" s="1073"/>
      <c r="P261" s="1073"/>
      <c r="Q261" s="1073"/>
      <c r="R261" s="1073"/>
      <c r="S261" s="2250"/>
      <c r="T261" s="1073" t="s">
        <v>567</v>
      </c>
      <c r="U261" s="1073"/>
      <c r="V261" s="1073"/>
      <c r="W261" s="1073"/>
      <c r="X261" s="1073"/>
      <c r="Y261" s="2250"/>
      <c r="Z261" s="965"/>
      <c r="AA261" s="965"/>
      <c r="AB261" s="965"/>
      <c r="AC261" s="965"/>
      <c r="AD261" s="965"/>
      <c r="AE261" s="1086"/>
      <c r="AK261" s="1096"/>
      <c r="AL261" s="1096"/>
      <c r="AM261" s="1096"/>
      <c r="AN261" s="1096"/>
      <c r="AO261" s="1096"/>
      <c r="AP261" s="1096"/>
    </row>
    <row r="262" spans="1:42" ht="30" customHeight="1" x14ac:dyDescent="0.3">
      <c r="A262" s="1100" t="s">
        <v>184</v>
      </c>
      <c r="B262" s="2263" t="s">
        <v>782</v>
      </c>
      <c r="C262" s="957"/>
      <c r="D262" s="957"/>
      <c r="E262" s="957"/>
      <c r="F262" s="957"/>
      <c r="G262" s="1146"/>
      <c r="H262" s="995" t="s">
        <v>784</v>
      </c>
      <c r="I262" s="995"/>
      <c r="J262" s="995"/>
      <c r="K262" s="995"/>
      <c r="L262" s="995"/>
      <c r="M262" s="2253"/>
      <c r="N262" s="1096" t="s">
        <v>39</v>
      </c>
      <c r="O262" s="1096"/>
      <c r="P262" s="1096"/>
      <c r="Q262" s="1096"/>
      <c r="R262" s="1096"/>
      <c r="S262" s="2256"/>
      <c r="T262" s="1096" t="s">
        <v>83</v>
      </c>
      <c r="U262" s="1096"/>
      <c r="V262" s="1096"/>
      <c r="W262" s="1096"/>
      <c r="X262" s="1096"/>
      <c r="Y262" s="2256"/>
      <c r="Z262" s="999"/>
      <c r="AA262" s="999"/>
      <c r="AB262" s="999"/>
      <c r="AC262" s="999"/>
      <c r="AD262" s="999"/>
      <c r="AE262" s="1110"/>
      <c r="AK262" s="2269"/>
      <c r="AL262" s="2269"/>
      <c r="AM262" s="2269"/>
      <c r="AN262" s="2269"/>
      <c r="AO262" s="2269"/>
      <c r="AP262" s="2269"/>
    </row>
    <row r="263" spans="1:42" ht="30" customHeight="1" x14ac:dyDescent="0.25">
      <c r="A263" s="1105"/>
      <c r="B263" s="2260" t="s">
        <v>153</v>
      </c>
      <c r="C263" s="952"/>
      <c r="D263" s="952"/>
      <c r="E263" s="952"/>
      <c r="F263" s="952"/>
      <c r="G263" s="1047"/>
      <c r="H263" s="952" t="s">
        <v>153</v>
      </c>
      <c r="I263" s="952"/>
      <c r="J263" s="952"/>
      <c r="K263" s="952"/>
      <c r="L263" s="952"/>
      <c r="M263" s="1047"/>
      <c r="N263" s="1073" t="s">
        <v>153</v>
      </c>
      <c r="O263" s="1073"/>
      <c r="P263" s="1073"/>
      <c r="Q263" s="1073"/>
      <c r="R263" s="1073"/>
      <c r="S263" s="2250"/>
      <c r="T263" s="1073" t="s">
        <v>567</v>
      </c>
      <c r="U263" s="1073"/>
      <c r="V263" s="1073"/>
      <c r="W263" s="1073"/>
      <c r="X263" s="1073"/>
      <c r="Y263" s="2250"/>
      <c r="Z263" s="965"/>
      <c r="AA263" s="965"/>
      <c r="AB263" s="965"/>
      <c r="AC263" s="965"/>
      <c r="AD263" s="965"/>
      <c r="AE263" s="1086"/>
    </row>
    <row r="264" spans="1:42" ht="30" customHeight="1" x14ac:dyDescent="0.3">
      <c r="A264" s="1100" t="s">
        <v>185</v>
      </c>
      <c r="B264" s="1096" t="s">
        <v>781</v>
      </c>
      <c r="C264" s="1096"/>
      <c r="D264" s="1096"/>
      <c r="E264" s="1096"/>
      <c r="F264" s="1096"/>
      <c r="G264" s="2256"/>
      <c r="H264" s="1147" t="s">
        <v>782</v>
      </c>
      <c r="I264" s="987"/>
      <c r="J264" s="987"/>
      <c r="K264" s="987"/>
      <c r="L264" s="987"/>
      <c r="M264" s="2257"/>
      <c r="N264" s="995" t="s">
        <v>781</v>
      </c>
      <c r="O264" s="995"/>
      <c r="P264" s="995"/>
      <c r="Q264" s="995"/>
      <c r="R264" s="995"/>
      <c r="S264" s="2253"/>
      <c r="T264" s="2263" t="s">
        <v>39</v>
      </c>
      <c r="U264" s="957"/>
      <c r="V264" s="957"/>
      <c r="W264" s="957"/>
      <c r="X264" s="957"/>
      <c r="Y264" s="1146"/>
      <c r="Z264" s="1083"/>
      <c r="AA264" s="1020"/>
      <c r="AB264" s="1020"/>
      <c r="AC264" s="1020"/>
      <c r="AD264" s="1020"/>
      <c r="AE264" s="1021"/>
      <c r="AJ264" s="1096"/>
      <c r="AK264" s="1096"/>
      <c r="AL264" s="1096"/>
      <c r="AM264" s="1096"/>
      <c r="AN264" s="1096"/>
      <c r="AO264" s="1096"/>
    </row>
    <row r="265" spans="1:42" ht="30" customHeight="1" x14ac:dyDescent="0.25">
      <c r="A265" s="1105"/>
      <c r="B265" s="1073" t="s">
        <v>667</v>
      </c>
      <c r="C265" s="1073"/>
      <c r="D265" s="1073"/>
      <c r="E265" s="1073"/>
      <c r="F265" s="1073"/>
      <c r="G265" s="2250"/>
      <c r="H265" s="1073" t="s">
        <v>1237</v>
      </c>
      <c r="I265" s="1073"/>
      <c r="J265" s="1073"/>
      <c r="K265" s="1073"/>
      <c r="L265" s="1073"/>
      <c r="M265" s="2250"/>
      <c r="N265" s="952" t="s">
        <v>153</v>
      </c>
      <c r="O265" s="952"/>
      <c r="P265" s="952"/>
      <c r="Q265" s="952"/>
      <c r="R265" s="952"/>
      <c r="S265" s="1047"/>
      <c r="T265" s="952" t="s">
        <v>153</v>
      </c>
      <c r="U265" s="952"/>
      <c r="V265" s="952"/>
      <c r="W265" s="952"/>
      <c r="X265" s="952"/>
      <c r="Y265" s="1047"/>
      <c r="Z265" s="965"/>
      <c r="AA265" s="965"/>
      <c r="AB265" s="965"/>
      <c r="AC265" s="965"/>
      <c r="AD265" s="965"/>
      <c r="AE265" s="1086"/>
    </row>
    <row r="266" spans="1:42" ht="30" customHeight="1" x14ac:dyDescent="0.3">
      <c r="A266" s="1483" t="s">
        <v>186</v>
      </c>
      <c r="B266" s="986" t="s">
        <v>781</v>
      </c>
      <c r="C266" s="987"/>
      <c r="D266" s="987"/>
      <c r="E266" s="987"/>
      <c r="F266" s="987"/>
      <c r="G266" s="2257"/>
      <c r="H266" s="1096" t="s">
        <v>782</v>
      </c>
      <c r="I266" s="1096"/>
      <c r="J266" s="1096"/>
      <c r="K266" s="1096"/>
      <c r="L266" s="1096"/>
      <c r="M266" s="2256"/>
      <c r="N266" s="995" t="s">
        <v>781</v>
      </c>
      <c r="O266" s="995"/>
      <c r="P266" s="995"/>
      <c r="Q266" s="995"/>
      <c r="R266" s="995"/>
      <c r="S266" s="2253"/>
      <c r="T266" s="995" t="s">
        <v>39</v>
      </c>
      <c r="U266" s="995"/>
      <c r="V266" s="995"/>
      <c r="W266" s="995"/>
      <c r="X266" s="995"/>
      <c r="Y266" s="2253"/>
      <c r="Z266" s="999"/>
      <c r="AA266" s="999"/>
      <c r="AB266" s="999"/>
      <c r="AC266" s="999"/>
      <c r="AD266" s="999"/>
      <c r="AE266" s="1110"/>
    </row>
    <row r="267" spans="1:42" ht="30" customHeight="1" x14ac:dyDescent="0.25">
      <c r="A267" s="1486"/>
      <c r="B267" s="1072" t="s">
        <v>667</v>
      </c>
      <c r="C267" s="1073"/>
      <c r="D267" s="1073"/>
      <c r="E267" s="1073"/>
      <c r="F267" s="1073"/>
      <c r="G267" s="2250"/>
      <c r="H267" s="1073" t="s">
        <v>1237</v>
      </c>
      <c r="I267" s="1073"/>
      <c r="J267" s="1073"/>
      <c r="K267" s="1073"/>
      <c r="L267" s="1073"/>
      <c r="M267" s="2250"/>
      <c r="N267" s="952" t="s">
        <v>153</v>
      </c>
      <c r="O267" s="952"/>
      <c r="P267" s="952"/>
      <c r="Q267" s="952"/>
      <c r="R267" s="952"/>
      <c r="S267" s="1047"/>
      <c r="T267" s="952" t="s">
        <v>153</v>
      </c>
      <c r="U267" s="952"/>
      <c r="V267" s="952"/>
      <c r="W267" s="952"/>
      <c r="X267" s="952"/>
      <c r="Y267" s="1047"/>
      <c r="Z267" s="965"/>
      <c r="AA267" s="965"/>
      <c r="AB267" s="965"/>
      <c r="AC267" s="965"/>
      <c r="AD267" s="965"/>
      <c r="AE267" s="1086"/>
    </row>
    <row r="269" spans="1:42" ht="15" x14ac:dyDescent="0.25">
      <c r="A269" s="731" t="s">
        <v>214</v>
      </c>
      <c r="B269" s="732"/>
      <c r="C269" s="2272" t="s">
        <v>215</v>
      </c>
      <c r="D269" s="2272"/>
      <c r="E269" s="2272"/>
      <c r="F269" s="2272"/>
      <c r="G269" s="2272"/>
      <c r="H269" s="2272"/>
      <c r="I269" s="2272"/>
      <c r="J269" s="2272"/>
      <c r="K269" s="2272"/>
      <c r="L269" s="166"/>
      <c r="M269" s="2267" t="s">
        <v>618</v>
      </c>
      <c r="N269" s="2268"/>
      <c r="O269" s="2272" t="s">
        <v>139</v>
      </c>
      <c r="P269" s="2274"/>
      <c r="Q269" s="2271" t="s">
        <v>163</v>
      </c>
      <c r="R269" s="2272"/>
      <c r="S269" s="2272"/>
      <c r="T269" s="2272"/>
      <c r="U269" s="2272"/>
      <c r="V269" s="2272"/>
      <c r="W269" s="2272"/>
      <c r="X269" s="2272"/>
      <c r="Y269" s="2272"/>
      <c r="Z269" s="2272"/>
      <c r="AA269" s="2272"/>
      <c r="AB269" s="2272"/>
      <c r="AC269" s="2272"/>
      <c r="AD269" s="2272"/>
      <c r="AE269" s="2275"/>
    </row>
    <row r="270" spans="1:42" ht="15" x14ac:dyDescent="0.25">
      <c r="A270" s="2245" t="s">
        <v>781</v>
      </c>
      <c r="B270" s="2246"/>
      <c r="C270" s="2261" t="str">
        <f>ASIGNATURAS!I297</f>
        <v>Electrónica de Potencia</v>
      </c>
      <c r="D270" s="2262"/>
      <c r="E270" s="2262"/>
      <c r="F270" s="2262"/>
      <c r="G270" s="2262"/>
      <c r="H270" s="2262"/>
      <c r="I270" s="2262"/>
      <c r="J270" s="2262"/>
      <c r="K270" s="2262"/>
      <c r="L270" s="2262"/>
      <c r="M270" s="1205">
        <v>7744</v>
      </c>
      <c r="N270" s="1205"/>
      <c r="O270" s="2305">
        <v>6</v>
      </c>
      <c r="P270" s="2306"/>
      <c r="Q270" s="981" t="str">
        <f>ASIGNATURAS!K297</f>
        <v>Guirguis Zaki</v>
      </c>
      <c r="R270" s="982"/>
      <c r="S270" s="982"/>
      <c r="T270" s="982"/>
      <c r="U270" s="982"/>
      <c r="V270" s="982"/>
      <c r="W270" s="982"/>
      <c r="X270" s="982"/>
      <c r="Y270" s="982"/>
      <c r="Z270" s="982"/>
      <c r="AA270" s="982"/>
      <c r="AB270" s="982"/>
      <c r="AC270" s="982"/>
      <c r="AD270" s="982"/>
      <c r="AE270" s="982"/>
    </row>
    <row r="271" spans="1:42" ht="15" x14ac:dyDescent="0.25">
      <c r="A271" s="2245" t="s">
        <v>112</v>
      </c>
      <c r="B271" s="2246"/>
      <c r="C271" s="2261" t="str">
        <f>ASIGNATURAS!I298</f>
        <v>Control de Procesos Industriales</v>
      </c>
      <c r="D271" s="2262"/>
      <c r="E271" s="2262"/>
      <c r="F271" s="2262"/>
      <c r="G271" s="2262"/>
      <c r="H271" s="2262"/>
      <c r="I271" s="2262"/>
      <c r="J271" s="2262"/>
      <c r="K271" s="2262"/>
      <c r="L271" s="2262"/>
      <c r="M271" s="1205">
        <v>7750</v>
      </c>
      <c r="N271" s="1205"/>
      <c r="O271" s="936">
        <v>6</v>
      </c>
      <c r="P271" s="1205"/>
      <c r="Q271" s="982" t="str">
        <f>ASIGNATURAS!K298</f>
        <v>Gabriel Rubio Pérez</v>
      </c>
      <c r="R271" s="982"/>
      <c r="S271" s="982"/>
      <c r="T271" s="982"/>
      <c r="U271" s="982"/>
      <c r="V271" s="982"/>
      <c r="W271" s="982"/>
      <c r="X271" s="982"/>
      <c r="Y271" s="982"/>
      <c r="Z271" s="982"/>
      <c r="AA271" s="982"/>
      <c r="AB271" s="982"/>
      <c r="AC271" s="982"/>
      <c r="AD271" s="982"/>
      <c r="AE271" s="983"/>
    </row>
    <row r="272" spans="1:42" ht="15" customHeight="1" x14ac:dyDescent="0.25">
      <c r="A272" s="2245" t="s">
        <v>41</v>
      </c>
      <c r="B272" s="2246"/>
      <c r="C272" s="2261" t="str">
        <f>ASIGNATURAS!I299</f>
        <v>Instalaciones Industriales I</v>
      </c>
      <c r="D272" s="2262"/>
      <c r="E272" s="2262"/>
      <c r="F272" s="2262"/>
      <c r="G272" s="2262"/>
      <c r="H272" s="2262"/>
      <c r="I272" s="2262"/>
      <c r="J272" s="2262"/>
      <c r="K272" s="2262"/>
      <c r="L272" s="2262"/>
      <c r="M272" s="1205">
        <v>7751</v>
      </c>
      <c r="N272" s="1205"/>
      <c r="O272" s="936">
        <v>6</v>
      </c>
      <c r="P272" s="1205"/>
      <c r="Q272" s="982" t="str">
        <f>ASIGNATURAS!K299</f>
        <v>Luís Alfredo Suarez Vivar</v>
      </c>
      <c r="R272" s="982"/>
      <c r="S272" s="982"/>
      <c r="T272" s="982"/>
      <c r="U272" s="982"/>
      <c r="V272" s="982"/>
      <c r="W272" s="982"/>
      <c r="X272" s="982"/>
      <c r="Y272" s="982"/>
      <c r="Z272" s="982"/>
      <c r="AA272" s="982"/>
      <c r="AB272" s="982"/>
      <c r="AC272" s="982"/>
      <c r="AD272" s="982"/>
      <c r="AE272" s="983"/>
    </row>
    <row r="273" spans="1:31" ht="15" customHeight="1" x14ac:dyDescent="0.25">
      <c r="A273" s="2245" t="s">
        <v>782</v>
      </c>
      <c r="B273" s="2246"/>
      <c r="C273" s="2261" t="str">
        <f>ASIGNATURAS!I300</f>
        <v>Informática Industrial</v>
      </c>
      <c r="D273" s="2262"/>
      <c r="E273" s="2262"/>
      <c r="F273" s="2262"/>
      <c r="G273" s="2262"/>
      <c r="H273" s="2262"/>
      <c r="I273" s="2262"/>
      <c r="J273" s="2262"/>
      <c r="K273" s="2262"/>
      <c r="L273" s="2262"/>
      <c r="M273" s="1205">
        <v>7752</v>
      </c>
      <c r="N273" s="1205"/>
      <c r="O273" s="936">
        <v>6</v>
      </c>
      <c r="P273" s="1205"/>
      <c r="Q273" s="982" t="str">
        <f>ASIGNATURAS!K300</f>
        <v>José Luis Jabato</v>
      </c>
      <c r="R273" s="982"/>
      <c r="S273" s="982"/>
      <c r="T273" s="982"/>
      <c r="U273" s="982"/>
      <c r="V273" s="982"/>
      <c r="W273" s="982"/>
      <c r="X273" s="982"/>
      <c r="Y273" s="982"/>
      <c r="Z273" s="982"/>
      <c r="AA273" s="982"/>
      <c r="AB273" s="982"/>
      <c r="AC273" s="982"/>
      <c r="AD273" s="982"/>
      <c r="AE273" s="983"/>
    </row>
    <row r="274" spans="1:31" ht="15" customHeight="1" x14ac:dyDescent="0.25">
      <c r="A274" s="2245" t="s">
        <v>39</v>
      </c>
      <c r="B274" s="2246"/>
      <c r="C274" s="2261" t="str">
        <f>ASIGNATURAS!I301</f>
        <v>Estructuras I</v>
      </c>
      <c r="D274" s="2262"/>
      <c r="E274" s="2262"/>
      <c r="F274" s="2262"/>
      <c r="G274" s="2262"/>
      <c r="H274" s="2262"/>
      <c r="I274" s="2262"/>
      <c r="J274" s="2262"/>
      <c r="K274" s="2262"/>
      <c r="L274" s="2262"/>
      <c r="M274" s="1205">
        <v>7753</v>
      </c>
      <c r="N274" s="1205"/>
      <c r="O274" s="936">
        <v>6</v>
      </c>
      <c r="P274" s="1205"/>
      <c r="Q274" s="982" t="str">
        <f>ASIGNATURAS!K301</f>
        <v xml:space="preserve">Jesús Moreno, </v>
      </c>
      <c r="R274" s="982"/>
      <c r="S274" s="982"/>
      <c r="T274" s="982"/>
      <c r="U274" s="982"/>
      <c r="V274" s="982"/>
      <c r="W274" s="982"/>
      <c r="X274" s="982"/>
      <c r="Y274" s="982"/>
      <c r="Z274" s="982"/>
      <c r="AA274" s="982"/>
      <c r="AB274" s="982"/>
      <c r="AC274" s="982"/>
      <c r="AD274" s="982"/>
      <c r="AE274" s="983"/>
    </row>
    <row r="275" spans="1:31" ht="15" customHeight="1" x14ac:dyDescent="0.25">
      <c r="A275" s="2245" t="s">
        <v>784</v>
      </c>
      <c r="B275" s="2246"/>
      <c r="C275" s="2261" t="str">
        <f>ASIGNATURAS!I302</f>
        <v>Máquinas Hidráulicas</v>
      </c>
      <c r="D275" s="2262"/>
      <c r="E275" s="2262"/>
      <c r="F275" s="2262"/>
      <c r="G275" s="2262"/>
      <c r="H275" s="2262"/>
      <c r="I275" s="2262"/>
      <c r="J275" s="2262"/>
      <c r="K275" s="2262"/>
      <c r="L275" s="2262"/>
      <c r="M275" s="1205">
        <v>7763</v>
      </c>
      <c r="N275" s="1205"/>
      <c r="O275" s="936">
        <v>6</v>
      </c>
      <c r="P275" s="1205"/>
      <c r="Q275" s="982" t="str">
        <f>ASIGNATURAS!K302</f>
        <v>David GonzálezIgnacio Velázquez</v>
      </c>
      <c r="R275" s="982"/>
      <c r="S275" s="982"/>
      <c r="T275" s="982"/>
      <c r="U275" s="982"/>
      <c r="V275" s="982"/>
      <c r="W275" s="982"/>
      <c r="X275" s="982"/>
      <c r="Y275" s="982"/>
      <c r="Z275" s="982"/>
      <c r="AA275" s="982"/>
      <c r="AB275" s="982"/>
      <c r="AC275" s="982"/>
      <c r="AD275" s="982"/>
      <c r="AE275" s="983"/>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296" t="s">
        <v>957</v>
      </c>
      <c r="B284" s="2297"/>
      <c r="C284" s="2297"/>
      <c r="D284" s="2297"/>
      <c r="E284" s="2297"/>
      <c r="F284" s="2297"/>
      <c r="G284" s="2297"/>
      <c r="H284" s="2297"/>
      <c r="I284" s="2297"/>
      <c r="J284" s="2297"/>
      <c r="K284" s="2297"/>
      <c r="L284" s="2297"/>
      <c r="M284" s="2297"/>
      <c r="N284" s="2297"/>
      <c r="O284" s="2297"/>
      <c r="P284" s="2297"/>
      <c r="Q284" s="2297"/>
      <c r="R284" s="2297"/>
      <c r="S284" s="2297"/>
      <c r="T284" s="2297"/>
      <c r="U284" s="2297"/>
      <c r="V284" s="2297"/>
      <c r="W284" s="2297"/>
      <c r="X284" s="2297"/>
      <c r="Y284" s="2298"/>
      <c r="Z284" s="2254" t="str">
        <f>Aulas!G5</f>
        <v>Curso 2024-2025</v>
      </c>
      <c r="AA284" s="2254"/>
      <c r="AB284" s="2254"/>
      <c r="AC284" s="2254"/>
      <c r="AD284" s="2254"/>
      <c r="AE284" s="2255"/>
    </row>
    <row r="285" spans="1:31" ht="18" customHeight="1" x14ac:dyDescent="0.25">
      <c r="A285" s="2291" t="s">
        <v>1017</v>
      </c>
      <c r="B285" s="2292"/>
      <c r="C285" s="2292"/>
      <c r="D285" s="2292"/>
      <c r="E285" s="2292"/>
      <c r="F285" s="2292"/>
      <c r="G285" s="2292"/>
      <c r="H285" s="2292"/>
      <c r="I285" s="2292"/>
      <c r="J285" s="2292"/>
      <c r="K285" s="2292"/>
      <c r="L285" s="2292"/>
      <c r="M285" s="2292"/>
      <c r="N285" s="2292"/>
      <c r="O285" s="2292"/>
      <c r="P285" s="2292"/>
      <c r="Q285" s="2292"/>
      <c r="R285" s="2292"/>
      <c r="S285" s="2292"/>
      <c r="T285" s="2292"/>
      <c r="U285" s="2292"/>
      <c r="V285" s="2292"/>
      <c r="W285" s="2292"/>
      <c r="X285" s="2292"/>
      <c r="Y285" s="2293"/>
      <c r="Z285" s="2279" t="s">
        <v>154</v>
      </c>
      <c r="AA285" s="2279"/>
      <c r="AB285" s="2279"/>
      <c r="AC285" s="2279"/>
      <c r="AD285" s="2279"/>
      <c r="AE285" s="2280"/>
    </row>
    <row r="286" spans="1:31" ht="18" customHeight="1" x14ac:dyDescent="0.25">
      <c r="A286" s="2264" t="s">
        <v>177</v>
      </c>
      <c r="B286" s="2265"/>
      <c r="C286" s="2265"/>
      <c r="D286" s="2265"/>
      <c r="E286" s="2265"/>
      <c r="F286" s="2265"/>
      <c r="G286" s="2265"/>
      <c r="H286" s="2265"/>
      <c r="I286" s="2265"/>
      <c r="J286" s="2265"/>
      <c r="K286" s="2265"/>
      <c r="L286" s="2265"/>
      <c r="M286" s="2265"/>
      <c r="N286" s="2265"/>
      <c r="O286" s="2265"/>
      <c r="P286" s="2265"/>
      <c r="Q286" s="2265"/>
      <c r="R286" s="2265"/>
      <c r="S286" s="2265"/>
      <c r="T286" s="2265"/>
      <c r="U286" s="2265"/>
      <c r="V286" s="2265"/>
      <c r="W286" s="2265"/>
      <c r="X286" s="2265"/>
      <c r="Y286" s="2266"/>
      <c r="Z286" s="2281"/>
      <c r="AA286" s="2281"/>
      <c r="AB286" s="2281"/>
      <c r="AC286" s="2281"/>
      <c r="AD286" s="2281"/>
      <c r="AE286" s="2282"/>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283" t="s">
        <v>2</v>
      </c>
      <c r="C288" s="2284"/>
      <c r="D288" s="2284"/>
      <c r="E288" s="2284"/>
      <c r="F288" s="2284"/>
      <c r="G288" s="2285"/>
      <c r="H288" s="2286" t="s">
        <v>3</v>
      </c>
      <c r="I288" s="2287"/>
      <c r="J288" s="2287"/>
      <c r="K288" s="2287"/>
      <c r="L288" s="2287"/>
      <c r="M288" s="2288"/>
      <c r="N288" s="2284" t="s">
        <v>135</v>
      </c>
      <c r="O288" s="2284"/>
      <c r="P288" s="2284"/>
      <c r="Q288" s="2284"/>
      <c r="R288" s="2284"/>
      <c r="S288" s="2285"/>
      <c r="T288" s="2284" t="s">
        <v>4</v>
      </c>
      <c r="U288" s="2284"/>
      <c r="V288" s="2284"/>
      <c r="W288" s="2284"/>
      <c r="X288" s="2284"/>
      <c r="Y288" s="2285"/>
      <c r="Z288" s="2286" t="s">
        <v>5</v>
      </c>
      <c r="AA288" s="2287"/>
      <c r="AB288" s="2287"/>
      <c r="AC288" s="2287"/>
      <c r="AD288" s="2287"/>
      <c r="AE288" s="2288"/>
    </row>
    <row r="289" spans="1:62" ht="30" customHeight="1" x14ac:dyDescent="0.3">
      <c r="A289" s="1128" t="s">
        <v>1091</v>
      </c>
      <c r="B289" s="2299" t="s">
        <v>1333</v>
      </c>
      <c r="C289" s="2300"/>
      <c r="D289" s="2300"/>
      <c r="E289" s="2300"/>
      <c r="F289" s="2300"/>
      <c r="G289" s="2301"/>
      <c r="H289" s="1147" t="s">
        <v>1331</v>
      </c>
      <c r="I289" s="987"/>
      <c r="J289" s="987"/>
      <c r="K289" s="987"/>
      <c r="L289" s="987"/>
      <c r="M289" s="2257"/>
      <c r="N289" s="2302" t="s">
        <v>953</v>
      </c>
      <c r="O289" s="2300"/>
      <c r="P289" s="2300"/>
      <c r="Q289" s="2300"/>
      <c r="R289" s="2300"/>
      <c r="S289" s="2301"/>
      <c r="T289" s="2304" t="s">
        <v>1331</v>
      </c>
      <c r="U289" s="1003"/>
      <c r="V289" s="1003"/>
      <c r="W289" s="1003"/>
      <c r="X289" s="1003"/>
      <c r="Y289" s="1114"/>
      <c r="AG289" s="1096"/>
      <c r="AH289" s="1096"/>
      <c r="AI289" s="1096"/>
      <c r="AJ289" s="1096"/>
      <c r="AK289" s="1096"/>
      <c r="AL289" s="1096"/>
      <c r="AM289" s="1096"/>
      <c r="AN289" s="1096"/>
      <c r="AO289" s="1096"/>
      <c r="AP289" s="1096"/>
      <c r="AQ289" s="1096"/>
      <c r="AR289" s="1096"/>
      <c r="AS289" s="1096"/>
      <c r="AT289" s="1096"/>
      <c r="AU289" s="1096"/>
      <c r="AV289" s="1096"/>
      <c r="AW289" s="1096"/>
      <c r="AX289" s="1096"/>
      <c r="AY289" s="1096"/>
      <c r="AZ289" s="1096"/>
      <c r="BA289" s="1096"/>
      <c r="BB289" s="1096"/>
      <c r="BC289" s="1096"/>
      <c r="BD289" s="1096"/>
      <c r="BE289" s="999"/>
      <c r="BF289" s="999"/>
      <c r="BG289" s="999"/>
      <c r="BH289" s="999"/>
      <c r="BI289" s="999"/>
      <c r="BJ289" s="999"/>
    </row>
    <row r="290" spans="1:62" ht="30" customHeight="1" x14ac:dyDescent="0.25">
      <c r="A290" s="1105"/>
      <c r="B290" s="1073" t="s">
        <v>567</v>
      </c>
      <c r="C290" s="1073"/>
      <c r="D290" s="1073"/>
      <c r="E290" s="1073"/>
      <c r="F290" s="1073"/>
      <c r="G290" s="2250"/>
      <c r="H290" s="1109" t="s">
        <v>567</v>
      </c>
      <c r="I290" s="1073"/>
      <c r="J290" s="1073"/>
      <c r="K290" s="1073"/>
      <c r="L290" s="1073"/>
      <c r="M290" s="2250"/>
      <c r="N290" s="1109" t="s">
        <v>528</v>
      </c>
      <c r="O290" s="1073"/>
      <c r="P290" s="1073"/>
      <c r="Q290" s="1073"/>
      <c r="R290" s="1073"/>
      <c r="S290" s="2250"/>
      <c r="T290" s="2260" t="s">
        <v>154</v>
      </c>
      <c r="U290" s="952"/>
      <c r="V290" s="952"/>
      <c r="W290" s="952"/>
      <c r="X290" s="952"/>
      <c r="Y290" s="1047"/>
      <c r="AG290" s="2269"/>
      <c r="AH290" s="2269"/>
      <c r="AI290" s="2269"/>
      <c r="AJ290" s="2269"/>
      <c r="AK290" s="2269"/>
      <c r="AL290" s="2269"/>
      <c r="AM290" s="2269"/>
      <c r="AN290" s="2269"/>
      <c r="AO290" s="2269"/>
      <c r="AP290" s="2269"/>
      <c r="AQ290" s="2269"/>
      <c r="AR290" s="2269"/>
      <c r="AS290" s="2269"/>
      <c r="AT290" s="2269"/>
      <c r="AU290" s="2269"/>
      <c r="AV290" s="2269"/>
      <c r="AW290" s="2269"/>
      <c r="AX290" s="2269"/>
      <c r="AY290" s="2269"/>
      <c r="AZ290" s="2269"/>
      <c r="BA290" s="2269"/>
      <c r="BB290" s="2269"/>
      <c r="BC290" s="2269"/>
      <c r="BD290" s="2269"/>
      <c r="BE290" s="1445"/>
      <c r="BF290" s="1445"/>
      <c r="BG290" s="1445"/>
      <c r="BH290" s="1445"/>
      <c r="BI290" s="1445"/>
      <c r="BJ290" s="1445"/>
    </row>
    <row r="291" spans="1:62" ht="30" customHeight="1" x14ac:dyDescent="0.3">
      <c r="A291" s="1100" t="s">
        <v>183</v>
      </c>
      <c r="B291" s="987" t="s">
        <v>1333</v>
      </c>
      <c r="C291" s="987"/>
      <c r="D291" s="987"/>
      <c r="E291" s="987"/>
      <c r="F291" s="987"/>
      <c r="G291" s="2257"/>
      <c r="H291" s="1147" t="s">
        <v>1331</v>
      </c>
      <c r="I291" s="987"/>
      <c r="J291" s="987"/>
      <c r="K291" s="987"/>
      <c r="L291" s="987"/>
      <c r="M291" s="2257"/>
      <c r="N291" s="1147" t="s">
        <v>953</v>
      </c>
      <c r="O291" s="987"/>
      <c r="P291" s="987"/>
      <c r="Q291" s="987"/>
      <c r="R291" s="987"/>
      <c r="S291" s="2257"/>
      <c r="T291" s="2303" t="s">
        <v>1333</v>
      </c>
      <c r="U291" s="995"/>
      <c r="V291" s="995"/>
      <c r="W291" s="995"/>
      <c r="X291" s="995"/>
      <c r="Y291" s="2253"/>
      <c r="Z291" s="1083"/>
      <c r="AA291" s="1020"/>
      <c r="AB291" s="1020"/>
      <c r="AC291" s="1020"/>
      <c r="AD291" s="1020"/>
      <c r="AE291" s="1021"/>
      <c r="AG291" s="1096"/>
      <c r="AH291" s="1096"/>
      <c r="AI291" s="1096"/>
      <c r="AJ291" s="1096"/>
      <c r="AK291" s="1096"/>
      <c r="AL291" s="1096"/>
      <c r="AM291" s="1096"/>
      <c r="AN291" s="1096"/>
      <c r="AO291" s="1096"/>
      <c r="AP291" s="1096"/>
      <c r="AQ291" s="1096"/>
      <c r="AR291" s="1096"/>
      <c r="AS291" s="1096"/>
      <c r="AT291" s="1096"/>
      <c r="AU291" s="1096"/>
      <c r="AV291" s="1096"/>
      <c r="AW291" s="1096"/>
      <c r="AX291" s="1096"/>
      <c r="AY291" s="1096"/>
      <c r="AZ291" s="1096"/>
      <c r="BA291" s="1096"/>
      <c r="BB291" s="1096"/>
      <c r="BC291" s="1096"/>
      <c r="BD291" s="1096"/>
      <c r="BE291" s="999"/>
      <c r="BF291" s="999"/>
      <c r="BG291" s="999"/>
      <c r="BH291" s="999"/>
      <c r="BI291" s="999"/>
      <c r="BJ291" s="999"/>
    </row>
    <row r="292" spans="1:62" ht="30" customHeight="1" x14ac:dyDescent="0.25">
      <c r="A292" s="1105"/>
      <c r="B292" s="1073" t="s">
        <v>567</v>
      </c>
      <c r="C292" s="1073"/>
      <c r="D292" s="1073"/>
      <c r="E292" s="1073"/>
      <c r="F292" s="1073"/>
      <c r="G292" s="2250"/>
      <c r="H292" s="2258" t="s">
        <v>567</v>
      </c>
      <c r="I292" s="1119"/>
      <c r="J292" s="1119"/>
      <c r="K292" s="1119"/>
      <c r="L292" s="1119"/>
      <c r="M292" s="2259"/>
      <c r="N292" s="1109" t="s">
        <v>528</v>
      </c>
      <c r="O292" s="1073"/>
      <c r="P292" s="1073"/>
      <c r="Q292" s="1073"/>
      <c r="R292" s="1073"/>
      <c r="S292" s="2250"/>
      <c r="T292" s="2260" t="s">
        <v>154</v>
      </c>
      <c r="U292" s="952"/>
      <c r="V292" s="952"/>
      <c r="W292" s="952"/>
      <c r="X292" s="952"/>
      <c r="Y292" s="1047"/>
      <c r="Z292" s="2276"/>
      <c r="AA292" s="1107"/>
      <c r="AB292" s="1107"/>
      <c r="AC292" s="1107"/>
      <c r="AD292" s="1107"/>
      <c r="AE292" s="1108"/>
      <c r="AG292" s="2269"/>
      <c r="AH292" s="2269"/>
      <c r="AI292" s="2269"/>
      <c r="AJ292" s="2269"/>
      <c r="AK292" s="2269"/>
      <c r="AL292" s="2269"/>
      <c r="AM292" s="2269"/>
      <c r="AN292" s="2269"/>
      <c r="AO292" s="2269"/>
      <c r="AP292" s="2269"/>
      <c r="AQ292" s="2269"/>
      <c r="AR292" s="2269"/>
      <c r="AS292" s="2269"/>
      <c r="AT292" s="2269"/>
      <c r="AU292" s="2269"/>
      <c r="AV292" s="2269"/>
      <c r="AW292" s="2269"/>
      <c r="AX292" s="2269"/>
      <c r="AY292" s="2269"/>
      <c r="AZ292" s="2269"/>
      <c r="BA292" s="2269"/>
      <c r="BB292" s="2269"/>
      <c r="BC292" s="2269"/>
      <c r="BD292" s="2269"/>
      <c r="BE292" s="1445"/>
      <c r="BF292" s="1445"/>
      <c r="BG292" s="1445"/>
      <c r="BH292" s="1445"/>
      <c r="BI292" s="1445"/>
      <c r="BJ292" s="1445"/>
    </row>
    <row r="293" spans="1:62" ht="30" customHeight="1" x14ac:dyDescent="0.3">
      <c r="A293" s="1100" t="s">
        <v>182</v>
      </c>
      <c r="B293" s="1020"/>
      <c r="C293" s="1020"/>
      <c r="D293" s="1020"/>
      <c r="E293" s="1020"/>
      <c r="F293" s="1020"/>
      <c r="G293" s="1021"/>
      <c r="H293" s="2263" t="s">
        <v>1331</v>
      </c>
      <c r="I293" s="957"/>
      <c r="J293" s="957"/>
      <c r="K293" s="957"/>
      <c r="L293" s="957"/>
      <c r="M293" s="1146"/>
      <c r="N293" s="1147" t="s">
        <v>953</v>
      </c>
      <c r="O293" s="987"/>
      <c r="P293" s="987"/>
      <c r="Q293" s="987"/>
      <c r="R293" s="987"/>
      <c r="S293" s="2257"/>
      <c r="T293" s="1147" t="s">
        <v>42</v>
      </c>
      <c r="U293" s="987"/>
      <c r="V293" s="987"/>
      <c r="W293" s="987"/>
      <c r="X293" s="987"/>
      <c r="Y293" s="2257"/>
      <c r="Z293" s="1083"/>
      <c r="AA293" s="1020"/>
      <c r="AB293" s="1020"/>
      <c r="AC293" s="1020"/>
      <c r="AD293" s="1020"/>
      <c r="AE293" s="1021"/>
      <c r="AG293" s="1096"/>
      <c r="AH293" s="1096"/>
      <c r="AI293" s="1096"/>
      <c r="AJ293" s="1096"/>
      <c r="AK293" s="1096"/>
      <c r="AL293" s="1096"/>
      <c r="AM293" s="995"/>
      <c r="AN293" s="995"/>
      <c r="AO293" s="995"/>
      <c r="AP293" s="995"/>
      <c r="AQ293" s="995"/>
      <c r="AR293" s="995"/>
      <c r="AS293" s="995"/>
      <c r="AT293" s="995"/>
      <c r="AU293" s="995"/>
      <c r="AV293" s="995"/>
      <c r="AW293" s="995"/>
      <c r="AX293" s="995"/>
      <c r="AY293" s="995"/>
      <c r="AZ293" s="995"/>
      <c r="BA293" s="995"/>
      <c r="BB293" s="995"/>
      <c r="BC293" s="995"/>
      <c r="BD293" s="995"/>
      <c r="BE293" s="999"/>
      <c r="BF293" s="999"/>
      <c r="BG293" s="999"/>
      <c r="BH293" s="999"/>
      <c r="BI293" s="999"/>
      <c r="BJ293" s="999"/>
    </row>
    <row r="294" spans="1:62" ht="30" customHeight="1" x14ac:dyDescent="0.25">
      <c r="A294" s="1105"/>
      <c r="B294" s="965"/>
      <c r="C294" s="965"/>
      <c r="D294" s="965"/>
      <c r="E294" s="965"/>
      <c r="F294" s="965"/>
      <c r="G294" s="1086"/>
      <c r="H294" s="2260" t="s">
        <v>154</v>
      </c>
      <c r="I294" s="952"/>
      <c r="J294" s="952"/>
      <c r="K294" s="952"/>
      <c r="L294" s="952"/>
      <c r="M294" s="1047"/>
      <c r="N294" s="1109" t="s">
        <v>528</v>
      </c>
      <c r="O294" s="1073"/>
      <c r="P294" s="1073"/>
      <c r="Q294" s="1073"/>
      <c r="R294" s="1073"/>
      <c r="S294" s="2250"/>
      <c r="T294" s="1109" t="s">
        <v>154</v>
      </c>
      <c r="U294" s="1073"/>
      <c r="V294" s="1073"/>
      <c r="W294" s="1073"/>
      <c r="X294" s="1073"/>
      <c r="Y294" s="2250"/>
      <c r="Z294" s="2276"/>
      <c r="AA294" s="1107"/>
      <c r="AB294" s="1107"/>
      <c r="AC294" s="1107"/>
      <c r="AD294" s="1107"/>
      <c r="AE294" s="1108"/>
      <c r="AG294" s="2269"/>
      <c r="AH294" s="2269"/>
      <c r="AI294" s="2269"/>
      <c r="AJ294" s="2269"/>
      <c r="AK294" s="2269"/>
      <c r="AL294" s="2269"/>
      <c r="AM294" s="2270"/>
      <c r="AN294" s="2270"/>
      <c r="AO294" s="2270"/>
      <c r="AP294" s="2270"/>
      <c r="AQ294" s="2270"/>
      <c r="AR294" s="2270"/>
      <c r="AS294" s="2270"/>
      <c r="AT294" s="2270"/>
      <c r="AU294" s="2270"/>
      <c r="AV294" s="2270"/>
      <c r="AW294" s="2270"/>
      <c r="AX294" s="2270"/>
      <c r="AY294" s="2270"/>
      <c r="AZ294" s="2270"/>
      <c r="BA294" s="2270"/>
      <c r="BB294" s="2270"/>
      <c r="BC294" s="2270"/>
      <c r="BD294" s="2270"/>
      <c r="BE294" s="1445"/>
      <c r="BF294" s="1445"/>
      <c r="BG294" s="1445"/>
      <c r="BH294" s="1445"/>
      <c r="BI294" s="1445"/>
      <c r="BJ294" s="1445"/>
    </row>
    <row r="295" spans="1:62" ht="30" customHeight="1" x14ac:dyDescent="0.3">
      <c r="A295" s="1100" t="s">
        <v>184</v>
      </c>
      <c r="B295" s="1083"/>
      <c r="C295" s="1020"/>
      <c r="D295" s="1020"/>
      <c r="E295" s="1020"/>
      <c r="F295" s="1020"/>
      <c r="G295" s="1021"/>
      <c r="H295" s="957" t="s">
        <v>1333</v>
      </c>
      <c r="I295" s="957"/>
      <c r="J295" s="957"/>
      <c r="K295" s="957"/>
      <c r="L295" s="957"/>
      <c r="M295" s="1146"/>
      <c r="N295" s="2263" t="s">
        <v>953</v>
      </c>
      <c r="O295" s="957"/>
      <c r="P295" s="957"/>
      <c r="Q295" s="957"/>
      <c r="R295" s="957"/>
      <c r="S295" s="1146"/>
      <c r="T295" s="1147" t="s">
        <v>42</v>
      </c>
      <c r="U295" s="987"/>
      <c r="V295" s="987"/>
      <c r="W295" s="987"/>
      <c r="X295" s="987"/>
      <c r="Y295" s="2257"/>
      <c r="Z295" s="1083"/>
      <c r="AA295" s="1020"/>
      <c r="AB295" s="1020"/>
      <c r="AC295" s="1020"/>
      <c r="AD295" s="1020"/>
      <c r="AE295" s="1021"/>
      <c r="AG295" s="995"/>
      <c r="AH295" s="995"/>
      <c r="AI295" s="995"/>
      <c r="AJ295" s="995"/>
      <c r="AK295" s="995"/>
      <c r="AL295" s="995"/>
      <c r="AM295" s="995"/>
      <c r="AN295" s="995"/>
      <c r="AO295" s="995"/>
      <c r="AP295" s="995"/>
      <c r="AQ295" s="995"/>
      <c r="AR295" s="995"/>
      <c r="AS295" s="995"/>
      <c r="AT295" s="995"/>
      <c r="AU295" s="995"/>
      <c r="AV295" s="995"/>
      <c r="AW295" s="995"/>
      <c r="AX295" s="995"/>
      <c r="AY295" s="995"/>
      <c r="AZ295" s="995"/>
      <c r="BA295" s="995"/>
      <c r="BB295" s="995"/>
      <c r="BC295" s="995"/>
      <c r="BD295" s="995"/>
      <c r="BE295" s="999"/>
      <c r="BF295" s="999"/>
      <c r="BG295" s="999"/>
      <c r="BH295" s="999"/>
      <c r="BI295" s="999"/>
      <c r="BJ295" s="999"/>
    </row>
    <row r="296" spans="1:62" ht="30" customHeight="1" x14ac:dyDescent="0.25">
      <c r="A296" s="1105"/>
      <c r="B296" s="1026"/>
      <c r="C296" s="965"/>
      <c r="D296" s="965"/>
      <c r="E296" s="965"/>
      <c r="F296" s="965"/>
      <c r="G296" s="1086"/>
      <c r="H296" s="952" t="s">
        <v>154</v>
      </c>
      <c r="I296" s="952"/>
      <c r="J296" s="952"/>
      <c r="K296" s="952"/>
      <c r="L296" s="952"/>
      <c r="M296" s="1047"/>
      <c r="N296" s="2260" t="s">
        <v>528</v>
      </c>
      <c r="O296" s="952"/>
      <c r="P296" s="952"/>
      <c r="Q296" s="952"/>
      <c r="R296" s="952"/>
      <c r="S296" s="1047"/>
      <c r="T296" s="1109" t="s">
        <v>154</v>
      </c>
      <c r="U296" s="1073"/>
      <c r="V296" s="1073"/>
      <c r="W296" s="1073"/>
      <c r="X296" s="1073"/>
      <c r="Y296" s="2250"/>
      <c r="Z296" s="2276"/>
      <c r="AA296" s="1107"/>
      <c r="AB296" s="1107"/>
      <c r="AC296" s="1107"/>
      <c r="AD296" s="1107"/>
      <c r="AE296" s="1108"/>
      <c r="AG296" s="2270"/>
      <c r="AH296" s="2270"/>
      <c r="AI296" s="2270"/>
      <c r="AJ296" s="2270"/>
      <c r="AK296" s="2270"/>
      <c r="AL296" s="2270"/>
      <c r="AM296" s="2270"/>
      <c r="AN296" s="2270"/>
      <c r="AO296" s="2270"/>
      <c r="AP296" s="2270"/>
      <c r="AQ296" s="2270"/>
      <c r="AR296" s="2270"/>
      <c r="AS296" s="2270"/>
      <c r="AT296" s="2270"/>
      <c r="AU296" s="2270"/>
      <c r="AV296" s="2270"/>
      <c r="AW296" s="2270"/>
      <c r="AX296" s="2270"/>
      <c r="AY296" s="2270"/>
      <c r="AZ296" s="2270"/>
      <c r="BA296" s="2270"/>
      <c r="BB296" s="2270"/>
      <c r="BC296" s="2270"/>
      <c r="BD296" s="2270"/>
      <c r="BE296" s="1445"/>
      <c r="BF296" s="1445"/>
      <c r="BG296" s="1445"/>
      <c r="BH296" s="1445"/>
      <c r="BI296" s="1445"/>
      <c r="BJ296" s="1445"/>
    </row>
    <row r="297" spans="1:62" ht="30" customHeight="1" x14ac:dyDescent="0.3">
      <c r="A297" s="1100" t="s">
        <v>185</v>
      </c>
      <c r="B297" s="1083"/>
      <c r="C297" s="1020"/>
      <c r="D297" s="1020"/>
      <c r="E297" s="1020"/>
      <c r="F297" s="1020"/>
      <c r="G297" s="1021"/>
      <c r="H297" s="2263" t="s">
        <v>1332</v>
      </c>
      <c r="I297" s="957"/>
      <c r="J297" s="957"/>
      <c r="K297" s="957"/>
      <c r="L297" s="957"/>
      <c r="M297" s="1146"/>
      <c r="N297" s="2263" t="s">
        <v>42</v>
      </c>
      <c r="O297" s="957"/>
      <c r="P297" s="957"/>
      <c r="Q297" s="957"/>
      <c r="R297" s="957"/>
      <c r="S297" s="1146"/>
      <c r="T297" s="1147" t="s">
        <v>1332</v>
      </c>
      <c r="U297" s="987"/>
      <c r="V297" s="987"/>
      <c r="W297" s="987"/>
      <c r="X297" s="987"/>
      <c r="Y297" s="2257"/>
      <c r="Z297" s="1083"/>
      <c r="AA297" s="1020"/>
      <c r="AB297" s="1020"/>
      <c r="AC297" s="1020"/>
      <c r="AD297" s="1020"/>
      <c r="AE297" s="1021"/>
      <c r="AG297" s="995"/>
      <c r="AH297" s="995"/>
      <c r="AI297" s="995"/>
      <c r="AJ297" s="995"/>
      <c r="AK297" s="995"/>
      <c r="AL297" s="995"/>
      <c r="AM297" s="1096"/>
      <c r="AN297" s="1096"/>
      <c r="AO297" s="1096"/>
      <c r="AP297" s="1096"/>
      <c r="AQ297" s="1096"/>
      <c r="AR297" s="1096"/>
      <c r="AS297" s="995"/>
      <c r="AT297" s="995"/>
      <c r="AU297" s="995"/>
      <c r="AV297" s="995"/>
      <c r="AW297" s="995"/>
      <c r="AX297" s="995"/>
      <c r="AY297" s="999"/>
      <c r="AZ297" s="999"/>
      <c r="BA297" s="999"/>
      <c r="BB297" s="999"/>
      <c r="BC297" s="999"/>
      <c r="BD297" s="999"/>
      <c r="BE297" s="999"/>
      <c r="BF297" s="999"/>
      <c r="BG297" s="999"/>
      <c r="BH297" s="999"/>
      <c r="BI297" s="999"/>
      <c r="BJ297" s="999"/>
    </row>
    <row r="298" spans="1:62" ht="30" customHeight="1" x14ac:dyDescent="0.25">
      <c r="A298" s="1105"/>
      <c r="B298" s="1026"/>
      <c r="C298" s="965"/>
      <c r="D298" s="965"/>
      <c r="E298" s="965"/>
      <c r="F298" s="965"/>
      <c r="G298" s="1086"/>
      <c r="H298" s="2260" t="s">
        <v>154</v>
      </c>
      <c r="I298" s="952"/>
      <c r="J298" s="952"/>
      <c r="K298" s="952"/>
      <c r="L298" s="952"/>
      <c r="M298" s="1047"/>
      <c r="N298" s="2260" t="s">
        <v>154</v>
      </c>
      <c r="O298" s="952"/>
      <c r="P298" s="952"/>
      <c r="Q298" s="952"/>
      <c r="R298" s="952"/>
      <c r="S298" s="1047"/>
      <c r="T298" s="1109" t="s">
        <v>668</v>
      </c>
      <c r="U298" s="1073"/>
      <c r="V298" s="1073"/>
      <c r="W298" s="1073"/>
      <c r="X298" s="1073"/>
      <c r="Y298" s="2250"/>
      <c r="Z298" s="2276"/>
      <c r="AA298" s="1107"/>
      <c r="AB298" s="1107"/>
      <c r="AC298" s="1107"/>
      <c r="AD298" s="1107"/>
      <c r="AE298" s="1108"/>
      <c r="AG298" s="2270"/>
      <c r="AH298" s="2270"/>
      <c r="AI298" s="2270"/>
      <c r="AJ298" s="2270"/>
      <c r="AK298" s="2270"/>
      <c r="AL298" s="2270"/>
      <c r="AM298" s="2269"/>
      <c r="AN298" s="2269"/>
      <c r="AO298" s="2269"/>
      <c r="AP298" s="2269"/>
      <c r="AQ298" s="2269"/>
      <c r="AR298" s="2269"/>
      <c r="AS298" s="2270"/>
      <c r="AT298" s="2270"/>
      <c r="AU298" s="2270"/>
      <c r="AV298" s="2270"/>
      <c r="AW298" s="2270"/>
      <c r="AX298" s="2270"/>
      <c r="AY298" s="1445"/>
      <c r="AZ298" s="1445"/>
      <c r="BA298" s="1445"/>
      <c r="BB298" s="1445"/>
      <c r="BC298" s="1445"/>
      <c r="BD298" s="1445"/>
      <c r="BE298" s="1445"/>
      <c r="BF298" s="1445"/>
      <c r="BG298" s="1445"/>
      <c r="BH298" s="1445"/>
      <c r="BI298" s="1445"/>
      <c r="BJ298" s="1445"/>
    </row>
    <row r="299" spans="1:62" ht="30" customHeight="1" x14ac:dyDescent="0.3">
      <c r="A299" s="1100" t="s">
        <v>186</v>
      </c>
      <c r="B299" s="20"/>
      <c r="C299" s="20"/>
      <c r="D299" s="20"/>
      <c r="E299" s="20"/>
      <c r="F299" s="20"/>
      <c r="G299" s="20"/>
      <c r="H299" s="2263" t="s">
        <v>1332</v>
      </c>
      <c r="I299" s="957"/>
      <c r="J299" s="957"/>
      <c r="K299" s="957"/>
      <c r="L299" s="957"/>
      <c r="M299" s="1146"/>
      <c r="N299" s="2263" t="s">
        <v>42</v>
      </c>
      <c r="O299" s="957"/>
      <c r="P299" s="957"/>
      <c r="Q299" s="957"/>
      <c r="R299" s="957"/>
      <c r="S299" s="1146"/>
      <c r="T299" s="1147" t="s">
        <v>1332</v>
      </c>
      <c r="U299" s="987"/>
      <c r="V299" s="987"/>
      <c r="W299" s="987"/>
      <c r="X299" s="987"/>
      <c r="Y299" s="2257"/>
      <c r="Z299" s="1083"/>
      <c r="AA299" s="1020"/>
      <c r="AB299" s="1020"/>
      <c r="AC299" s="1020"/>
      <c r="AD299" s="1020"/>
      <c r="AE299" s="1021"/>
      <c r="AG299" s="999"/>
      <c r="AH299" s="999"/>
      <c r="AI299" s="999"/>
      <c r="AJ299" s="999"/>
      <c r="AK299" s="999"/>
      <c r="AL299" s="999"/>
      <c r="AM299" s="1096"/>
      <c r="AN299" s="1096"/>
      <c r="AO299" s="1096"/>
      <c r="AP299" s="1096"/>
      <c r="AQ299" s="1096"/>
      <c r="AR299" s="1096"/>
      <c r="AS299" s="999"/>
      <c r="AT299" s="999"/>
      <c r="AU299" s="999"/>
      <c r="AV299" s="999"/>
      <c r="AW299" s="999"/>
      <c r="AX299" s="999"/>
      <c r="AY299" s="999"/>
      <c r="AZ299" s="999"/>
      <c r="BA299" s="999"/>
      <c r="BB299" s="999"/>
      <c r="BC299" s="999"/>
      <c r="BD299" s="999"/>
      <c r="BE299" s="999"/>
      <c r="BF299" s="999"/>
      <c r="BG299" s="999"/>
      <c r="BH299" s="999"/>
      <c r="BI299" s="999"/>
      <c r="BJ299" s="999"/>
    </row>
    <row r="300" spans="1:62" ht="30" customHeight="1" x14ac:dyDescent="0.25">
      <c r="A300" s="1105"/>
      <c r="B300" s="492"/>
      <c r="C300" s="492"/>
      <c r="D300" s="492"/>
      <c r="E300" s="20"/>
      <c r="F300" s="492"/>
      <c r="G300" s="20"/>
      <c r="H300" s="2260" t="s">
        <v>154</v>
      </c>
      <c r="I300" s="952"/>
      <c r="J300" s="952"/>
      <c r="K300" s="952"/>
      <c r="L300" s="952"/>
      <c r="M300" s="1047"/>
      <c r="N300" s="2260" t="s">
        <v>154</v>
      </c>
      <c r="O300" s="952"/>
      <c r="P300" s="952"/>
      <c r="Q300" s="952"/>
      <c r="R300" s="952"/>
      <c r="S300" s="1047"/>
      <c r="T300" s="1109" t="s">
        <v>668</v>
      </c>
      <c r="U300" s="1073"/>
      <c r="V300" s="1073"/>
      <c r="W300" s="1073"/>
      <c r="X300" s="1073"/>
      <c r="Y300" s="2250"/>
      <c r="Z300" s="2276"/>
      <c r="AA300" s="1107"/>
      <c r="AB300" s="1107"/>
      <c r="AC300" s="1107"/>
      <c r="AD300" s="1107"/>
      <c r="AE300" s="1108"/>
      <c r="AG300" s="1445"/>
      <c r="AH300" s="1445"/>
      <c r="AI300" s="1445"/>
      <c r="AJ300" s="1445"/>
      <c r="AK300" s="1445"/>
      <c r="AL300" s="1445"/>
      <c r="AM300" s="2269"/>
      <c r="AN300" s="2269"/>
      <c r="AO300" s="2269"/>
      <c r="AP300" s="2269"/>
      <c r="AQ300" s="2269"/>
      <c r="AR300" s="2269"/>
      <c r="AS300" s="1445"/>
      <c r="AT300" s="1445"/>
      <c r="AU300" s="1445"/>
      <c r="AV300" s="1445"/>
      <c r="AW300" s="1445"/>
      <c r="AX300" s="1445"/>
      <c r="AY300" s="1445"/>
      <c r="AZ300" s="1445"/>
      <c r="BA300" s="1445"/>
      <c r="BB300" s="1445"/>
      <c r="BC300" s="1445"/>
      <c r="BD300" s="1445"/>
      <c r="BE300" s="1445"/>
      <c r="BF300" s="1445"/>
      <c r="BG300" s="1445"/>
      <c r="BH300" s="1445"/>
      <c r="BI300" s="1445"/>
      <c r="BJ300" s="1445"/>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72" t="s">
        <v>215</v>
      </c>
      <c r="D302" s="2272"/>
      <c r="E302" s="2272"/>
      <c r="F302" s="2272"/>
      <c r="G302" s="2272"/>
      <c r="H302" s="2272"/>
      <c r="I302" s="2272"/>
      <c r="J302" s="2272"/>
      <c r="K302" s="2272"/>
      <c r="L302" s="166"/>
      <c r="M302" s="2267" t="s">
        <v>618</v>
      </c>
      <c r="N302" s="2268"/>
      <c r="O302" s="2272" t="s">
        <v>139</v>
      </c>
      <c r="P302" s="2274"/>
      <c r="Q302" s="2271" t="s">
        <v>163</v>
      </c>
      <c r="R302" s="2272"/>
      <c r="S302" s="2272"/>
      <c r="T302" s="2272"/>
      <c r="U302" s="2272"/>
      <c r="V302" s="2272"/>
      <c r="W302" s="2272"/>
      <c r="X302" s="2272"/>
      <c r="Y302" s="2272"/>
      <c r="Z302" s="2272"/>
      <c r="AA302" s="2272"/>
      <c r="AB302" s="2272"/>
      <c r="AC302" s="2272"/>
      <c r="AD302" s="2272"/>
      <c r="AE302" s="2275"/>
    </row>
    <row r="303" spans="1:62" ht="15" customHeight="1" x14ac:dyDescent="0.25">
      <c r="A303" s="2245" t="s">
        <v>953</v>
      </c>
      <c r="B303" s="2246"/>
      <c r="C303" s="2247" t="str">
        <f>ASIGNATURAS!I303</f>
        <v>Oficina Técnica</v>
      </c>
      <c r="D303" s="2248"/>
      <c r="E303" s="2248"/>
      <c r="F303" s="2248"/>
      <c r="G303" s="2248"/>
      <c r="H303" s="2248"/>
      <c r="I303" s="2248"/>
      <c r="J303" s="2248"/>
      <c r="K303" s="2248"/>
      <c r="L303" s="2249"/>
      <c r="M303" s="2294">
        <v>7754</v>
      </c>
      <c r="N303" s="2295"/>
      <c r="O303" s="2294">
        <v>6</v>
      </c>
      <c r="P303" s="2295"/>
      <c r="Q303" s="2247" t="str">
        <f>ASIGNATURAS!K303</f>
        <v>Raul Zamora</v>
      </c>
      <c r="R303" s="2248"/>
      <c r="S303" s="2248"/>
      <c r="T303" s="2248"/>
      <c r="U303" s="2248"/>
      <c r="V303" s="2248"/>
      <c r="W303" s="2248"/>
      <c r="X303" s="2248"/>
      <c r="Y303" s="2248"/>
      <c r="Z303" s="2248"/>
      <c r="AA303" s="2248"/>
      <c r="AB303" s="2248"/>
      <c r="AC303" s="2248"/>
      <c r="AD303" s="2248"/>
      <c r="AE303" s="2249"/>
    </row>
    <row r="304" spans="1:62" ht="15" customHeight="1" x14ac:dyDescent="0.25">
      <c r="A304" s="2245" t="s">
        <v>1331</v>
      </c>
      <c r="B304" s="2246"/>
      <c r="C304" s="2247" t="str">
        <f>ASIGNATURAS!I304</f>
        <v>Automatización Industrial</v>
      </c>
      <c r="D304" s="2248"/>
      <c r="E304" s="2248"/>
      <c r="F304" s="2248"/>
      <c r="G304" s="2248"/>
      <c r="H304" s="2248"/>
      <c r="I304" s="2248"/>
      <c r="J304" s="2248"/>
      <c r="K304" s="2248"/>
      <c r="L304" s="2249"/>
      <c r="M304" s="2294">
        <v>7755</v>
      </c>
      <c r="N304" s="2295"/>
      <c r="O304" s="2294">
        <v>6</v>
      </c>
      <c r="P304" s="2295"/>
      <c r="Q304" s="2247" t="str">
        <f>ASIGNATURAS!K304</f>
        <v>Juan Vicente Martín</v>
      </c>
      <c r="R304" s="2248"/>
      <c r="S304" s="2248"/>
      <c r="T304" s="2248"/>
      <c r="U304" s="2248"/>
      <c r="V304" s="2248"/>
      <c r="W304" s="2248"/>
      <c r="X304" s="2248"/>
      <c r="Y304" s="2248"/>
      <c r="Z304" s="2248"/>
      <c r="AA304" s="2248"/>
      <c r="AB304" s="2248"/>
      <c r="AC304" s="2248"/>
      <c r="AD304" s="2248"/>
      <c r="AE304" s="2249"/>
    </row>
    <row r="305" spans="1:31" ht="15" customHeight="1" x14ac:dyDescent="0.25">
      <c r="A305" s="2245" t="s">
        <v>954</v>
      </c>
      <c r="B305" s="2246"/>
      <c r="C305" s="2247" t="str">
        <f>ASIGNATURAS!I305</f>
        <v>Estructuras II</v>
      </c>
      <c r="D305" s="2248"/>
      <c r="E305" s="2248"/>
      <c r="F305" s="2248"/>
      <c r="G305" s="2248"/>
      <c r="H305" s="2248"/>
      <c r="I305" s="2248"/>
      <c r="J305" s="2248"/>
      <c r="K305" s="2248"/>
      <c r="L305" s="2249"/>
      <c r="M305" s="2294">
        <v>7756</v>
      </c>
      <c r="N305" s="2295"/>
      <c r="O305" s="2294">
        <v>6</v>
      </c>
      <c r="P305" s="2295"/>
      <c r="Q305" s="2247" t="str">
        <f>ASIGNATURAS!K305</f>
        <v>José Antonio Martínez</v>
      </c>
      <c r="R305" s="2248"/>
      <c r="S305" s="2248"/>
      <c r="T305" s="2248"/>
      <c r="U305" s="2248"/>
      <c r="V305" s="2248"/>
      <c r="W305" s="2248"/>
      <c r="X305" s="2248"/>
      <c r="Y305" s="2248"/>
      <c r="Z305" s="2248"/>
      <c r="AA305" s="2248"/>
      <c r="AB305" s="2248"/>
      <c r="AC305" s="2248"/>
      <c r="AD305" s="2248"/>
      <c r="AE305" s="2249"/>
    </row>
    <row r="306" spans="1:31" ht="15" customHeight="1" x14ac:dyDescent="0.25">
      <c r="A306" s="2245" t="s">
        <v>1332</v>
      </c>
      <c r="B306" s="2246"/>
      <c r="C306" s="2247" t="str">
        <f>ASIGNATURAS!I306</f>
        <v xml:space="preserve">Máquinas Térmicas </v>
      </c>
      <c r="D306" s="2248"/>
      <c r="E306" s="2248"/>
      <c r="F306" s="2248"/>
      <c r="G306" s="2248"/>
      <c r="H306" s="2248"/>
      <c r="I306" s="2248"/>
      <c r="J306" s="2248"/>
      <c r="K306" s="2248"/>
      <c r="L306" s="2249"/>
      <c r="M306" s="2294">
        <v>7757</v>
      </c>
      <c r="N306" s="2295"/>
      <c r="O306" s="2294">
        <v>6</v>
      </c>
      <c r="P306" s="2295"/>
      <c r="Q306" s="2247" t="str">
        <f>ASIGNATURAS!K306</f>
        <v>Fernando Aguilar</v>
      </c>
      <c r="R306" s="2248"/>
      <c r="S306" s="2248"/>
      <c r="T306" s="2248"/>
      <c r="U306" s="2248"/>
      <c r="V306" s="2248"/>
      <c r="W306" s="2248"/>
      <c r="X306" s="2248"/>
      <c r="Y306" s="2248"/>
      <c r="Z306" s="2248"/>
      <c r="AA306" s="2248"/>
      <c r="AB306" s="2248"/>
      <c r="AC306" s="2248"/>
      <c r="AD306" s="2248"/>
      <c r="AE306" s="2249"/>
    </row>
    <row r="307" spans="1:31" ht="15" customHeight="1" x14ac:dyDescent="0.25">
      <c r="A307" s="2245" t="s">
        <v>1333</v>
      </c>
      <c r="B307" s="2246"/>
      <c r="C307" s="2247" t="str">
        <f>ASIGNATURAS!I307</f>
        <v>Robótica Industrial</v>
      </c>
      <c r="D307" s="2248"/>
      <c r="E307" s="2248"/>
      <c r="F307" s="2248"/>
      <c r="G307" s="2248"/>
      <c r="H307" s="2248"/>
      <c r="I307" s="2248"/>
      <c r="J307" s="2248"/>
      <c r="K307" s="2248"/>
      <c r="L307" s="2249"/>
      <c r="M307" s="2294">
        <v>7758</v>
      </c>
      <c r="N307" s="2295"/>
      <c r="O307" s="2294">
        <v>6</v>
      </c>
      <c r="P307" s="2295"/>
      <c r="Q307" s="2247" t="str">
        <f>ASIGNATURAS!K307</f>
        <v>Jesús Enrique Sierra</v>
      </c>
      <c r="R307" s="2248"/>
      <c r="S307" s="2248"/>
      <c r="T307" s="2248"/>
      <c r="U307" s="2248"/>
      <c r="V307" s="2248"/>
      <c r="W307" s="2248"/>
      <c r="X307" s="2248"/>
      <c r="Y307" s="2248"/>
      <c r="Z307" s="2248"/>
      <c r="AA307" s="2248"/>
      <c r="AB307" s="2248"/>
      <c r="AC307" s="2248"/>
      <c r="AD307" s="2248"/>
      <c r="AE307" s="2249"/>
    </row>
    <row r="308" spans="1:31" ht="15" x14ac:dyDescent="0.25">
      <c r="A308" s="2245"/>
      <c r="B308" s="2246"/>
      <c r="C308" s="2247"/>
      <c r="D308" s="2248"/>
      <c r="E308" s="2248"/>
      <c r="F308" s="2248"/>
      <c r="G308" s="2248"/>
      <c r="H308" s="2248"/>
      <c r="I308" s="2248"/>
      <c r="J308" s="2248"/>
      <c r="K308" s="2248"/>
      <c r="L308" s="2249"/>
      <c r="M308" s="2294"/>
      <c r="N308" s="2295"/>
      <c r="O308" s="2294"/>
      <c r="P308" s="2295"/>
      <c r="Q308" s="2247"/>
      <c r="R308" s="2248"/>
      <c r="S308" s="2248"/>
      <c r="T308" s="2248"/>
      <c r="U308" s="2248"/>
      <c r="V308" s="2248"/>
      <c r="W308" s="2248"/>
      <c r="X308" s="2248"/>
      <c r="Y308" s="2248"/>
      <c r="Z308" s="2248"/>
      <c r="AA308" s="2248"/>
      <c r="AB308" s="2248"/>
      <c r="AC308" s="2248"/>
      <c r="AD308" s="2248"/>
      <c r="AE308" s="224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6" t="s">
        <v>957</v>
      </c>
      <c r="B318" s="2297"/>
      <c r="C318" s="2297"/>
      <c r="D318" s="2297"/>
      <c r="E318" s="2297"/>
      <c r="F318" s="2297"/>
      <c r="G318" s="2297"/>
      <c r="H318" s="2297"/>
      <c r="I318" s="2297"/>
      <c r="J318" s="2297"/>
      <c r="K318" s="2297"/>
      <c r="L318" s="2297"/>
      <c r="M318" s="2297"/>
      <c r="N318" s="2297"/>
      <c r="O318" s="2297"/>
      <c r="P318" s="2297"/>
      <c r="Q318" s="2297"/>
      <c r="R318" s="2297"/>
      <c r="S318" s="2297"/>
      <c r="T318" s="2297"/>
      <c r="U318" s="2297"/>
      <c r="V318" s="2297"/>
      <c r="W318" s="2297"/>
      <c r="X318" s="2297"/>
      <c r="Y318" s="2298"/>
      <c r="Z318" s="2254" t="str">
        <f>Aulas!G5</f>
        <v>Curso 2024-2025</v>
      </c>
      <c r="AA318" s="2254"/>
      <c r="AB318" s="2254"/>
      <c r="AC318" s="2254"/>
      <c r="AD318" s="2254"/>
      <c r="AE318" s="2255"/>
    </row>
    <row r="319" spans="1:31" ht="18" customHeight="1" x14ac:dyDescent="0.25">
      <c r="A319" s="2291" t="s">
        <v>970</v>
      </c>
      <c r="B319" s="2292"/>
      <c r="C319" s="2292"/>
      <c r="D319" s="2292"/>
      <c r="E319" s="2292"/>
      <c r="F319" s="2292"/>
      <c r="G319" s="2292"/>
      <c r="H319" s="2292"/>
      <c r="I319" s="2292"/>
      <c r="J319" s="2292"/>
      <c r="K319" s="2292"/>
      <c r="L319" s="2292"/>
      <c r="M319" s="2292"/>
      <c r="N319" s="2292"/>
      <c r="O319" s="2292"/>
      <c r="P319" s="2292"/>
      <c r="Q319" s="2292"/>
      <c r="R319" s="2292"/>
      <c r="S319" s="2292"/>
      <c r="T319" s="2292"/>
      <c r="U319" s="2292"/>
      <c r="V319" s="2292"/>
      <c r="W319" s="2292"/>
      <c r="X319" s="2292"/>
      <c r="Y319" s="2293"/>
      <c r="Z319" s="2279" t="s">
        <v>155</v>
      </c>
      <c r="AA319" s="2279"/>
      <c r="AB319" s="2279"/>
      <c r="AC319" s="2279"/>
      <c r="AD319" s="2279"/>
      <c r="AE319" s="2280"/>
    </row>
    <row r="320" spans="1:31" ht="18" customHeight="1" x14ac:dyDescent="0.25">
      <c r="A320" s="2264" t="s">
        <v>177</v>
      </c>
      <c r="B320" s="2265"/>
      <c r="C320" s="2265"/>
      <c r="D320" s="2265"/>
      <c r="E320" s="2265"/>
      <c r="F320" s="2265"/>
      <c r="G320" s="2265"/>
      <c r="H320" s="2265"/>
      <c r="I320" s="2265"/>
      <c r="J320" s="2265"/>
      <c r="K320" s="2265"/>
      <c r="L320" s="2265"/>
      <c r="M320" s="2265"/>
      <c r="N320" s="2265"/>
      <c r="O320" s="2265"/>
      <c r="P320" s="2265"/>
      <c r="Q320" s="2265"/>
      <c r="R320" s="2265"/>
      <c r="S320" s="2265"/>
      <c r="T320" s="2265"/>
      <c r="U320" s="2265"/>
      <c r="V320" s="2265"/>
      <c r="W320" s="2265"/>
      <c r="X320" s="2265"/>
      <c r="Y320" s="2266"/>
      <c r="Z320" s="2281"/>
      <c r="AA320" s="2281"/>
      <c r="AB320" s="2281"/>
      <c r="AC320" s="2281"/>
      <c r="AD320" s="2281"/>
      <c r="AE320" s="2282"/>
    </row>
    <row r="321" spans="1:31" ht="38.25" customHeight="1" x14ac:dyDescent="0.25">
      <c r="A321" s="23" t="s">
        <v>959</v>
      </c>
    </row>
    <row r="322" spans="1:31" ht="18" thickBot="1" x14ac:dyDescent="0.3">
      <c r="A322" s="165" t="s">
        <v>1</v>
      </c>
      <c r="B322" s="2283" t="s">
        <v>2</v>
      </c>
      <c r="C322" s="2284"/>
      <c r="D322" s="2284"/>
      <c r="E322" s="2284"/>
      <c r="F322" s="2284"/>
      <c r="G322" s="2285"/>
      <c r="H322" s="2286" t="s">
        <v>3</v>
      </c>
      <c r="I322" s="2287"/>
      <c r="J322" s="2287"/>
      <c r="K322" s="2287"/>
      <c r="L322" s="2287"/>
      <c r="M322" s="2288"/>
      <c r="N322" s="2286" t="s">
        <v>135</v>
      </c>
      <c r="O322" s="2287"/>
      <c r="P322" s="2287"/>
      <c r="Q322" s="2287"/>
      <c r="R322" s="2287"/>
      <c r="S322" s="2288"/>
      <c r="T322" s="2283" t="s">
        <v>4</v>
      </c>
      <c r="U322" s="2284"/>
      <c r="V322" s="2284"/>
      <c r="W322" s="2284"/>
      <c r="X322" s="2284"/>
      <c r="Y322" s="2285"/>
      <c r="Z322" s="2283" t="s">
        <v>5</v>
      </c>
      <c r="AA322" s="2284"/>
      <c r="AB322" s="2284"/>
      <c r="AC322" s="2284"/>
      <c r="AD322" s="2284"/>
      <c r="AE322" s="2285"/>
    </row>
    <row r="323" spans="1:31" ht="30" customHeight="1" x14ac:dyDescent="0.3">
      <c r="A323" s="1128" t="s">
        <v>1091</v>
      </c>
      <c r="B323" s="1126"/>
      <c r="C323" s="1126"/>
      <c r="D323" s="1126"/>
      <c r="E323" s="1126"/>
      <c r="F323" s="1126"/>
      <c r="G323" s="2289"/>
      <c r="H323" s="2277"/>
      <c r="I323" s="999"/>
      <c r="J323" s="999"/>
      <c r="K323" s="999"/>
      <c r="L323" s="999"/>
      <c r="M323" s="1110"/>
      <c r="N323" s="2277"/>
      <c r="O323" s="999"/>
      <c r="P323" s="999"/>
      <c r="Q323" s="999"/>
      <c r="R323" s="999"/>
      <c r="S323" s="1110"/>
      <c r="T323" s="2290"/>
      <c r="U323" s="1126"/>
      <c r="V323" s="1126"/>
      <c r="W323" s="1126"/>
      <c r="X323" s="1126"/>
      <c r="Y323" s="2289"/>
      <c r="Z323" s="2290"/>
      <c r="AA323" s="1126"/>
      <c r="AB323" s="1126"/>
      <c r="AC323" s="1126"/>
      <c r="AD323" s="1126"/>
      <c r="AE323" s="2289"/>
    </row>
    <row r="324" spans="1:31" ht="30" customHeight="1" x14ac:dyDescent="0.25">
      <c r="A324" s="1105"/>
      <c r="B324" s="1107"/>
      <c r="C324" s="1107"/>
      <c r="D324" s="1107"/>
      <c r="E324" s="1107"/>
      <c r="F324" s="1107"/>
      <c r="G324" s="1108"/>
      <c r="H324" s="2276"/>
      <c r="I324" s="1107"/>
      <c r="J324" s="1107"/>
      <c r="K324" s="1107"/>
      <c r="L324" s="1107"/>
      <c r="M324" s="1108"/>
      <c r="N324" s="2276"/>
      <c r="O324" s="1107"/>
      <c r="P324" s="1107"/>
      <c r="Q324" s="1107"/>
      <c r="R324" s="1107"/>
      <c r="S324" s="1108"/>
      <c r="T324" s="2276"/>
      <c r="U324" s="1107"/>
      <c r="V324" s="1107"/>
      <c r="W324" s="1107"/>
      <c r="X324" s="1107"/>
      <c r="Y324" s="1108"/>
      <c r="Z324" s="2276"/>
      <c r="AA324" s="1107"/>
      <c r="AB324" s="1107"/>
      <c r="AC324" s="1107"/>
      <c r="AD324" s="1107"/>
      <c r="AE324" s="1108"/>
    </row>
    <row r="325" spans="1:31" ht="30" customHeight="1" x14ac:dyDescent="0.3">
      <c r="A325" s="1100" t="s">
        <v>183</v>
      </c>
      <c r="B325" s="1062"/>
      <c r="C325" s="1020"/>
      <c r="D325" s="1020"/>
      <c r="E325" s="1020"/>
      <c r="F325" s="1020"/>
      <c r="G325" s="1021"/>
      <c r="H325" s="1083"/>
      <c r="I325" s="1020"/>
      <c r="J325" s="1020"/>
      <c r="K325" s="1020"/>
      <c r="L325" s="1020"/>
      <c r="M325" s="1021"/>
      <c r="N325" s="1083"/>
      <c r="O325" s="1020"/>
      <c r="P325" s="1020"/>
      <c r="Q325" s="1020"/>
      <c r="R325" s="1020"/>
      <c r="S325" s="1021"/>
      <c r="T325" s="1083"/>
      <c r="U325" s="1020"/>
      <c r="V325" s="1020"/>
      <c r="W325" s="1020"/>
      <c r="X325" s="1020"/>
      <c r="Y325" s="1021"/>
      <c r="Z325" s="1083"/>
      <c r="AA325" s="1020"/>
      <c r="AB325" s="1020"/>
      <c r="AC325" s="1020"/>
      <c r="AD325" s="1020"/>
      <c r="AE325" s="1021"/>
    </row>
    <row r="326" spans="1:31" ht="30" customHeight="1" x14ac:dyDescent="0.25">
      <c r="A326" s="1105"/>
      <c r="B326" s="964"/>
      <c r="C326" s="965"/>
      <c r="D326" s="965"/>
      <c r="E326" s="965"/>
      <c r="F326" s="965"/>
      <c r="G326" s="1086"/>
      <c r="H326" s="1026"/>
      <c r="I326" s="965"/>
      <c r="J326" s="965"/>
      <c r="K326" s="965"/>
      <c r="L326" s="965"/>
      <c r="M326" s="1086"/>
      <c r="N326" s="1026"/>
      <c r="O326" s="965"/>
      <c r="P326" s="965"/>
      <c r="Q326" s="965"/>
      <c r="R326" s="965"/>
      <c r="S326" s="1086"/>
      <c r="T326" s="1090"/>
      <c r="U326" s="1091"/>
      <c r="V326" s="1091"/>
      <c r="W326" s="1091"/>
      <c r="X326" s="1091"/>
      <c r="Y326" s="2278"/>
      <c r="Z326" s="2276"/>
      <c r="AA326" s="1107"/>
      <c r="AB326" s="1107"/>
      <c r="AC326" s="1107"/>
      <c r="AD326" s="1107"/>
      <c r="AE326" s="1108"/>
    </row>
    <row r="327" spans="1:31" ht="30" customHeight="1" x14ac:dyDescent="0.3">
      <c r="A327" s="1100" t="s">
        <v>182</v>
      </c>
      <c r="B327" s="1020"/>
      <c r="C327" s="1020"/>
      <c r="D327" s="1020"/>
      <c r="E327" s="1020"/>
      <c r="F327" s="1020"/>
      <c r="G327" s="1021"/>
      <c r="H327" s="1083"/>
      <c r="I327" s="1020"/>
      <c r="J327" s="1020"/>
      <c r="K327" s="1020"/>
      <c r="L327" s="1020"/>
      <c r="M327" s="1021"/>
      <c r="N327" s="1083"/>
      <c r="O327" s="1020"/>
      <c r="P327" s="1020"/>
      <c r="Q327" s="1020"/>
      <c r="R327" s="1020"/>
      <c r="S327" s="1021"/>
      <c r="T327" s="1147" t="s">
        <v>46</v>
      </c>
      <c r="U327" s="987"/>
      <c r="V327" s="987"/>
      <c r="W327" s="987"/>
      <c r="X327" s="987"/>
      <c r="Y327" s="2257"/>
      <c r="Z327" s="1083"/>
      <c r="AA327" s="1020"/>
      <c r="AB327" s="1020"/>
      <c r="AC327" s="1020"/>
      <c r="AD327" s="1020"/>
      <c r="AE327" s="1021"/>
    </row>
    <row r="328" spans="1:31" ht="30" customHeight="1" x14ac:dyDescent="0.25">
      <c r="A328" s="1105"/>
      <c r="B328" s="965"/>
      <c r="C328" s="965"/>
      <c r="D328" s="965"/>
      <c r="E328" s="965"/>
      <c r="F328" s="965"/>
      <c r="G328" s="1086"/>
      <c r="H328" s="1026"/>
      <c r="I328" s="965"/>
      <c r="J328" s="965"/>
      <c r="K328" s="965"/>
      <c r="L328" s="965"/>
      <c r="M328" s="1086"/>
      <c r="N328" s="1026"/>
      <c r="O328" s="965"/>
      <c r="P328" s="965"/>
      <c r="Q328" s="965"/>
      <c r="R328" s="965"/>
      <c r="S328" s="1086"/>
      <c r="T328" s="2258" t="s">
        <v>156</v>
      </c>
      <c r="U328" s="1119"/>
      <c r="V328" s="1119"/>
      <c r="W328" s="1119"/>
      <c r="X328" s="1119"/>
      <c r="Y328" s="2259"/>
      <c r="Z328" s="2276"/>
      <c r="AA328" s="1107"/>
      <c r="AB328" s="1107"/>
      <c r="AC328" s="1107"/>
      <c r="AD328" s="1107"/>
      <c r="AE328" s="1108"/>
    </row>
    <row r="329" spans="1:31" ht="30" customHeight="1" x14ac:dyDescent="0.3">
      <c r="A329" s="1100" t="s">
        <v>184</v>
      </c>
      <c r="B329" s="2277"/>
      <c r="C329" s="999"/>
      <c r="D329" s="999"/>
      <c r="E329" s="999"/>
      <c r="F329" s="999"/>
      <c r="G329" s="1110"/>
      <c r="H329" s="1083"/>
      <c r="I329" s="1020"/>
      <c r="J329" s="1020"/>
      <c r="K329" s="1020"/>
      <c r="L329" s="1020"/>
      <c r="M329" s="1021"/>
      <c r="N329" s="1083"/>
      <c r="O329" s="1020"/>
      <c r="P329" s="1020"/>
      <c r="Q329" s="1020"/>
      <c r="R329" s="1020"/>
      <c r="S329" s="1021"/>
      <c r="T329" s="1147" t="s">
        <v>46</v>
      </c>
      <c r="U329" s="987"/>
      <c r="V329" s="987"/>
      <c r="W329" s="987"/>
      <c r="X329" s="987"/>
      <c r="Y329" s="2257"/>
      <c r="Z329" s="1083"/>
      <c r="AA329" s="1020"/>
      <c r="AB329" s="1020"/>
      <c r="AC329" s="1020"/>
      <c r="AD329" s="1020"/>
      <c r="AE329" s="1021"/>
    </row>
    <row r="330" spans="1:31" ht="30" customHeight="1" x14ac:dyDescent="0.25">
      <c r="A330" s="1105"/>
      <c r="B330" s="965"/>
      <c r="C330" s="965"/>
      <c r="D330" s="965"/>
      <c r="E330" s="965"/>
      <c r="F330" s="965"/>
      <c r="G330" s="1086"/>
      <c r="H330" s="1026"/>
      <c r="I330" s="965"/>
      <c r="J330" s="965"/>
      <c r="K330" s="965"/>
      <c r="L330" s="965"/>
      <c r="M330" s="1086"/>
      <c r="N330" s="1026"/>
      <c r="O330" s="965"/>
      <c r="P330" s="965"/>
      <c r="Q330" s="965"/>
      <c r="R330" s="965"/>
      <c r="S330" s="1086"/>
      <c r="T330" s="2258" t="s">
        <v>156</v>
      </c>
      <c r="U330" s="1119"/>
      <c r="V330" s="1119"/>
      <c r="W330" s="1119"/>
      <c r="X330" s="1119"/>
      <c r="Y330" s="2259"/>
      <c r="Z330" s="2276"/>
      <c r="AA330" s="1107"/>
      <c r="AB330" s="1107"/>
      <c r="AC330" s="1107"/>
      <c r="AD330" s="1107"/>
      <c r="AE330" s="1108"/>
    </row>
    <row r="331" spans="1:31" ht="30" customHeight="1" x14ac:dyDescent="0.3">
      <c r="A331" s="1100" t="s">
        <v>185</v>
      </c>
      <c r="B331" s="1020"/>
      <c r="C331" s="1020"/>
      <c r="D331" s="1020"/>
      <c r="E331" s="1020"/>
      <c r="F331" s="1020"/>
      <c r="G331" s="1021"/>
      <c r="H331" s="957" t="s">
        <v>46</v>
      </c>
      <c r="I331" s="957"/>
      <c r="J331" s="957"/>
      <c r="K331" s="957"/>
      <c r="L331" s="957"/>
      <c r="M331" s="1146"/>
      <c r="N331" s="1083"/>
      <c r="O331" s="1020"/>
      <c r="P331" s="1020"/>
      <c r="Q331" s="1020"/>
      <c r="R331" s="1020"/>
      <c r="S331" s="1021"/>
      <c r="T331" s="1083"/>
      <c r="U331" s="1020"/>
      <c r="V331" s="1020"/>
      <c r="W331" s="1020"/>
      <c r="X331" s="1020"/>
      <c r="Y331" s="1021"/>
      <c r="Z331" s="1083"/>
      <c r="AA331" s="1020"/>
      <c r="AB331" s="1020"/>
      <c r="AC331" s="1020"/>
      <c r="AD331" s="1020"/>
      <c r="AE331" s="1021"/>
    </row>
    <row r="332" spans="1:31" ht="30" customHeight="1" x14ac:dyDescent="0.25">
      <c r="A332" s="1105"/>
      <c r="B332" s="965"/>
      <c r="C332" s="965"/>
      <c r="D332" s="965"/>
      <c r="E332" s="965"/>
      <c r="F332" s="965"/>
      <c r="G332" s="1086"/>
      <c r="H332" s="952" t="s">
        <v>156</v>
      </c>
      <c r="I332" s="952"/>
      <c r="J332" s="952"/>
      <c r="K332" s="952"/>
      <c r="L332" s="952"/>
      <c r="M332" s="1047"/>
      <c r="N332" s="1026"/>
      <c r="O332" s="965"/>
      <c r="P332" s="965"/>
      <c r="Q332" s="965"/>
      <c r="R332" s="965"/>
      <c r="S332" s="1086"/>
      <c r="T332" s="1026"/>
      <c r="U332" s="965"/>
      <c r="V332" s="965"/>
      <c r="W332" s="965"/>
      <c r="X332" s="965"/>
      <c r="Y332" s="1086"/>
      <c r="Z332" s="2276"/>
      <c r="AA332" s="1107"/>
      <c r="AB332" s="1107"/>
      <c r="AC332" s="1107"/>
      <c r="AD332" s="1107"/>
      <c r="AE332" s="1108"/>
    </row>
    <row r="333" spans="1:31" ht="30" customHeight="1" x14ac:dyDescent="0.3">
      <c r="A333" s="1100" t="s">
        <v>186</v>
      </c>
      <c r="B333" s="999"/>
      <c r="C333" s="999"/>
      <c r="D333" s="999"/>
      <c r="E333" s="999"/>
      <c r="F333" s="999"/>
      <c r="G333" s="1110"/>
      <c r="H333" s="995" t="s">
        <v>46</v>
      </c>
      <c r="I333" s="995"/>
      <c r="J333" s="995"/>
      <c r="K333" s="995"/>
      <c r="L333" s="995"/>
      <c r="M333" s="2253"/>
      <c r="N333" s="1083"/>
      <c r="O333" s="1020"/>
      <c r="P333" s="1020"/>
      <c r="Q333" s="1020"/>
      <c r="R333" s="1020"/>
      <c r="S333" s="1021"/>
      <c r="T333" s="1083"/>
      <c r="U333" s="1020"/>
      <c r="V333" s="1020"/>
      <c r="W333" s="1020"/>
      <c r="X333" s="1020"/>
      <c r="Y333" s="1021"/>
      <c r="Z333" s="1083"/>
      <c r="AA333" s="1020"/>
      <c r="AB333" s="1020"/>
      <c r="AC333" s="1020"/>
      <c r="AD333" s="1020"/>
      <c r="AE333" s="1021"/>
    </row>
    <row r="334" spans="1:31" ht="30" customHeight="1" x14ac:dyDescent="0.25">
      <c r="A334" s="1105"/>
      <c r="B334" s="965"/>
      <c r="C334" s="965"/>
      <c r="D334" s="965"/>
      <c r="E334" s="965"/>
      <c r="F334" s="965"/>
      <c r="G334" s="1086"/>
      <c r="H334" s="952" t="s">
        <v>156</v>
      </c>
      <c r="I334" s="952"/>
      <c r="J334" s="952"/>
      <c r="K334" s="952"/>
      <c r="L334" s="952"/>
      <c r="M334" s="1047"/>
      <c r="N334" s="2276"/>
      <c r="O334" s="1107"/>
      <c r="P334" s="1107"/>
      <c r="Q334" s="1107"/>
      <c r="R334" s="1107"/>
      <c r="S334" s="1108"/>
      <c r="T334" s="2276"/>
      <c r="U334" s="1107"/>
      <c r="V334" s="1107"/>
      <c r="W334" s="1107"/>
      <c r="X334" s="1107"/>
      <c r="Y334" s="1108"/>
      <c r="Z334" s="2276"/>
      <c r="AA334" s="1107"/>
      <c r="AB334" s="1107"/>
      <c r="AC334" s="1107"/>
      <c r="AD334" s="1107"/>
      <c r="AE334" s="1108"/>
    </row>
    <row r="336" spans="1:31" ht="15" x14ac:dyDescent="0.25">
      <c r="A336" s="731" t="s">
        <v>214</v>
      </c>
      <c r="B336" s="732"/>
      <c r="C336" s="2271" t="s">
        <v>215</v>
      </c>
      <c r="D336" s="2272"/>
      <c r="E336" s="2272"/>
      <c r="F336" s="2272"/>
      <c r="G336" s="2272"/>
      <c r="H336" s="2272"/>
      <c r="I336" s="2272"/>
      <c r="J336" s="2272"/>
      <c r="K336" s="2272"/>
      <c r="L336" s="166"/>
      <c r="M336" s="2273" t="s">
        <v>618</v>
      </c>
      <c r="N336" s="2268"/>
      <c r="O336" s="2271" t="s">
        <v>139</v>
      </c>
      <c r="P336" s="2274"/>
      <c r="Q336" s="2271" t="s">
        <v>163</v>
      </c>
      <c r="R336" s="2272"/>
      <c r="S336" s="2272"/>
      <c r="T336" s="2272"/>
      <c r="U336" s="2272"/>
      <c r="V336" s="2272"/>
      <c r="W336" s="2272"/>
      <c r="X336" s="2272"/>
      <c r="Y336" s="2272"/>
      <c r="Z336" s="2272"/>
      <c r="AA336" s="2272"/>
      <c r="AB336" s="2272"/>
      <c r="AC336" s="2272"/>
      <c r="AD336" s="2272"/>
      <c r="AE336" s="2275"/>
    </row>
    <row r="337" spans="1:31" ht="15" x14ac:dyDescent="0.25">
      <c r="A337" s="2245" t="s">
        <v>46</v>
      </c>
      <c r="B337" s="2246"/>
      <c r="C337" s="2006" t="str">
        <f>ASIGNATURAS!I308</f>
        <v>Inglés Aplicado a la Ing Mecánica</v>
      </c>
      <c r="D337" s="1177"/>
      <c r="E337" s="1177"/>
      <c r="F337" s="1177"/>
      <c r="G337" s="1177"/>
      <c r="H337" s="1177"/>
      <c r="I337" s="1177"/>
      <c r="J337" s="1177"/>
      <c r="K337" s="1177"/>
      <c r="L337" s="981"/>
      <c r="M337" s="2145">
        <v>7760</v>
      </c>
      <c r="N337" s="936"/>
      <c r="O337" s="2145">
        <v>6</v>
      </c>
      <c r="P337" s="936"/>
      <c r="Q337" s="2006" t="str">
        <f>ASIGNATURAS!K308</f>
        <v>Ana Isabel Gómez</v>
      </c>
      <c r="R337" s="1177"/>
      <c r="S337" s="1177"/>
      <c r="T337" s="1177"/>
      <c r="U337" s="1177"/>
      <c r="V337" s="1177"/>
      <c r="W337" s="1177"/>
      <c r="X337" s="1177"/>
      <c r="Y337" s="1177"/>
      <c r="Z337" s="1177"/>
      <c r="AA337" s="1177"/>
      <c r="AB337" s="1177"/>
      <c r="AC337" s="1177"/>
      <c r="AD337" s="1177"/>
      <c r="AE337" s="981"/>
    </row>
    <row r="338" spans="1:31" ht="15" x14ac:dyDescent="0.25">
      <c r="A338" s="2245"/>
      <c r="B338" s="2246"/>
      <c r="C338" s="2006"/>
      <c r="D338" s="1177"/>
      <c r="E338" s="1177"/>
      <c r="F338" s="1177"/>
      <c r="G338" s="1177"/>
      <c r="H338" s="1177"/>
      <c r="I338" s="1177"/>
      <c r="J338" s="1177"/>
      <c r="K338" s="1177"/>
      <c r="L338" s="981"/>
      <c r="M338" s="2145"/>
      <c r="N338" s="936"/>
      <c r="O338" s="2145"/>
      <c r="P338" s="936"/>
      <c r="Q338" s="2006"/>
      <c r="R338" s="1177"/>
      <c r="S338" s="1177"/>
      <c r="T338" s="1177"/>
      <c r="U338" s="1177"/>
      <c r="V338" s="1177"/>
      <c r="W338" s="1177"/>
      <c r="X338" s="1177"/>
      <c r="Y338" s="1177"/>
      <c r="Z338" s="1177"/>
      <c r="AA338" s="1177"/>
      <c r="AB338" s="1177"/>
      <c r="AC338" s="1177"/>
      <c r="AD338" s="1177"/>
      <c r="AE338" s="1178"/>
    </row>
    <row r="339" spans="1:31" ht="15" customHeight="1" x14ac:dyDescent="0.25">
      <c r="A339" s="2245"/>
      <c r="B339" s="2246"/>
      <c r="C339" s="2006"/>
      <c r="D339" s="1177"/>
      <c r="E339" s="1177"/>
      <c r="F339" s="1177"/>
      <c r="G339" s="1177"/>
      <c r="H339" s="1177"/>
      <c r="I339" s="1177"/>
      <c r="J339" s="1177"/>
      <c r="K339" s="1177"/>
      <c r="L339" s="981"/>
      <c r="M339" s="2145"/>
      <c r="N339" s="936"/>
      <c r="O339" s="2145"/>
      <c r="P339" s="936"/>
      <c r="Q339" s="2006"/>
      <c r="R339" s="1177"/>
      <c r="S339" s="1177"/>
      <c r="T339" s="1177"/>
      <c r="U339" s="1177"/>
      <c r="V339" s="1177"/>
      <c r="W339" s="1177"/>
      <c r="X339" s="1177"/>
      <c r="Y339" s="1177"/>
      <c r="Z339" s="1177"/>
      <c r="AA339" s="1177"/>
      <c r="AB339" s="1177"/>
      <c r="AC339" s="1177"/>
      <c r="AD339" s="1177"/>
      <c r="AE339" s="1178"/>
    </row>
    <row r="340" spans="1:31" ht="15" customHeight="1" x14ac:dyDescent="0.25">
      <c r="A340" s="2245"/>
      <c r="B340" s="2246"/>
      <c r="C340" s="2006"/>
      <c r="D340" s="1177"/>
      <c r="E340" s="1177"/>
      <c r="F340" s="1177"/>
      <c r="G340" s="1177"/>
      <c r="H340" s="1177"/>
      <c r="I340" s="1177"/>
      <c r="J340" s="1177"/>
      <c r="K340" s="1177"/>
      <c r="L340" s="981"/>
      <c r="M340" s="2145"/>
      <c r="N340" s="936"/>
      <c r="O340" s="2145"/>
      <c r="P340" s="936"/>
      <c r="Q340" s="2006"/>
      <c r="R340" s="1177"/>
      <c r="S340" s="1177"/>
      <c r="T340" s="1177"/>
      <c r="U340" s="1177"/>
      <c r="V340" s="1177"/>
      <c r="W340" s="1177"/>
      <c r="X340" s="1177"/>
      <c r="Y340" s="1177"/>
      <c r="Z340" s="1177"/>
      <c r="AA340" s="1177"/>
      <c r="AB340" s="1177"/>
      <c r="AC340" s="1177"/>
      <c r="AD340" s="1177"/>
      <c r="AE340" s="1178"/>
    </row>
    <row r="341" spans="1:31" ht="15" customHeight="1" x14ac:dyDescent="0.25">
      <c r="A341" s="2245"/>
      <c r="B341" s="2246"/>
      <c r="C341" s="2006"/>
      <c r="D341" s="1177"/>
      <c r="E341" s="1177"/>
      <c r="F341" s="1177"/>
      <c r="G341" s="1177"/>
      <c r="H341" s="1177"/>
      <c r="I341" s="1177"/>
      <c r="J341" s="1177"/>
      <c r="K341" s="1177"/>
      <c r="L341" s="981"/>
      <c r="M341" s="2145"/>
      <c r="N341" s="936"/>
      <c r="O341" s="2145"/>
      <c r="P341" s="936"/>
      <c r="Q341" s="2006"/>
      <c r="R341" s="1177"/>
      <c r="S341" s="1177"/>
      <c r="T341" s="1177"/>
      <c r="U341" s="1177"/>
      <c r="V341" s="1177"/>
      <c r="W341" s="1177"/>
      <c r="X341" s="1177"/>
      <c r="Y341" s="1177"/>
      <c r="Z341" s="1177"/>
      <c r="AA341" s="1177"/>
      <c r="AB341" s="1177"/>
      <c r="AC341" s="1177"/>
      <c r="AD341" s="1177"/>
      <c r="AE341" s="1178"/>
    </row>
    <row r="342" spans="1:31" ht="15" customHeight="1" x14ac:dyDescent="0.25">
      <c r="A342" s="2245"/>
      <c r="B342" s="2246"/>
      <c r="C342" s="2006"/>
      <c r="D342" s="1177"/>
      <c r="E342" s="1177"/>
      <c r="F342" s="1177"/>
      <c r="G342" s="1177"/>
      <c r="H342" s="1177"/>
      <c r="I342" s="1177"/>
      <c r="J342" s="1177"/>
      <c r="K342" s="1177"/>
      <c r="L342" s="981"/>
      <c r="M342" s="2145"/>
      <c r="N342" s="936"/>
      <c r="O342" s="2145"/>
      <c r="P342" s="936"/>
      <c r="Q342" s="2006"/>
      <c r="R342" s="1177"/>
      <c r="S342" s="1177"/>
      <c r="T342" s="1177"/>
      <c r="U342" s="1177"/>
      <c r="V342" s="1177"/>
      <c r="W342" s="1177"/>
      <c r="X342" s="1177"/>
      <c r="Y342" s="1177"/>
      <c r="Z342" s="1177"/>
      <c r="AA342" s="1177"/>
      <c r="AB342" s="1177"/>
      <c r="AC342" s="1177"/>
      <c r="AD342" s="1177"/>
      <c r="AE342" s="1178"/>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35" t="str">
        <f>VLOOKUP(A4,ASIGNATURAS!$A$2:$D$151, 3, FALSE)</f>
        <v>1º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6"/>
      <c r="AP1" s="1136"/>
      <c r="AQ1" s="1136"/>
      <c r="AR1" s="1136"/>
      <c r="AS1" s="1137"/>
      <c r="AT1" s="1064" t="str">
        <f>Aulas!G5</f>
        <v>Curso 2024-2025</v>
      </c>
      <c r="AU1" s="1065"/>
      <c r="AV1" s="1065"/>
      <c r="AW1" s="1065"/>
      <c r="AX1" s="1065"/>
      <c r="AY1" s="1065"/>
      <c r="AZ1" s="1065"/>
      <c r="BA1" s="1065"/>
      <c r="BB1" s="1065"/>
      <c r="BC1" s="1066"/>
    </row>
    <row r="2" spans="1:55"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3"/>
      <c r="AP2" s="1133"/>
      <c r="AQ2" s="1133"/>
      <c r="AR2" s="1133"/>
      <c r="AS2" s="1134"/>
      <c r="AT2" s="2489" t="s">
        <v>1210</v>
      </c>
      <c r="AU2" s="2489"/>
      <c r="AV2" s="2489"/>
      <c r="AW2" s="2489"/>
      <c r="AX2" s="2489"/>
      <c r="AY2" s="2489"/>
      <c r="AZ2" s="2489"/>
      <c r="BA2" s="2489"/>
      <c r="BB2" s="2489"/>
      <c r="BC2" s="2490"/>
    </row>
    <row r="3" spans="1:55"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3"/>
      <c r="AP3" s="1133"/>
      <c r="AQ3" s="1133"/>
      <c r="AR3" s="1133"/>
      <c r="AS3" s="1134"/>
      <c r="AT3" s="2491"/>
      <c r="AU3" s="2491"/>
      <c r="AV3" s="2491"/>
      <c r="AW3" s="2491"/>
      <c r="AX3" s="2491"/>
      <c r="AY3" s="2491"/>
      <c r="AZ3" s="2491"/>
      <c r="BA3" s="2491"/>
      <c r="BB3" s="2491"/>
      <c r="BC3" s="2492"/>
    </row>
    <row r="4" spans="1:55" ht="24" customHeight="1" thickBot="1" x14ac:dyDescent="0.3">
      <c r="A4" s="9" t="s">
        <v>66</v>
      </c>
    </row>
    <row r="5" spans="1:55" s="2" customFormat="1" ht="24" customHeight="1" thickBot="1" x14ac:dyDescent="0.3">
      <c r="A5" s="19" t="s">
        <v>1</v>
      </c>
      <c r="B5" s="1064" t="s">
        <v>2</v>
      </c>
      <c r="C5" s="1065"/>
      <c r="D5" s="1065"/>
      <c r="E5" s="1065"/>
      <c r="F5" s="1065"/>
      <c r="G5" s="1065"/>
      <c r="H5" s="1065"/>
      <c r="I5" s="1065"/>
      <c r="J5" s="1065"/>
      <c r="K5" s="1065"/>
      <c r="L5" s="1065"/>
      <c r="M5" s="1066"/>
      <c r="N5" s="975" t="s">
        <v>3</v>
      </c>
      <c r="O5" s="976"/>
      <c r="P5" s="976"/>
      <c r="Q5" s="976"/>
      <c r="R5" s="976"/>
      <c r="S5" s="976"/>
      <c r="T5" s="976"/>
      <c r="U5" s="976"/>
      <c r="V5" s="976"/>
      <c r="W5" s="976"/>
      <c r="X5" s="976"/>
      <c r="Y5" s="977"/>
      <c r="Z5" s="1064" t="s">
        <v>135</v>
      </c>
      <c r="AA5" s="1065"/>
      <c r="AB5" s="1065"/>
      <c r="AC5" s="1065"/>
      <c r="AD5" s="1065"/>
      <c r="AE5" s="1065"/>
      <c r="AF5" s="1065"/>
      <c r="AG5" s="1065"/>
      <c r="AH5" s="1065"/>
      <c r="AI5" s="1066"/>
      <c r="AJ5" s="1064" t="s">
        <v>4</v>
      </c>
      <c r="AK5" s="1065"/>
      <c r="AL5" s="1065"/>
      <c r="AM5" s="1065"/>
      <c r="AN5" s="1065"/>
      <c r="AO5" s="1065"/>
      <c r="AP5" s="1065"/>
      <c r="AQ5" s="1065"/>
      <c r="AR5" s="1065"/>
      <c r="AS5" s="1066"/>
      <c r="AT5" s="1064" t="s">
        <v>5</v>
      </c>
      <c r="AU5" s="1065"/>
      <c r="AV5" s="1065"/>
      <c r="AW5" s="1065"/>
      <c r="AX5" s="1065"/>
      <c r="AY5" s="1065"/>
      <c r="AZ5" s="1065"/>
      <c r="BA5" s="1065"/>
      <c r="BB5" s="1065"/>
      <c r="BC5" s="1066"/>
    </row>
    <row r="6" spans="1:55" ht="32.25" customHeight="1" x14ac:dyDescent="0.25">
      <c r="A6" s="1128" t="s">
        <v>10</v>
      </c>
      <c r="B6" s="2429" t="s">
        <v>97</v>
      </c>
      <c r="C6" s="2430"/>
      <c r="D6" s="2430"/>
      <c r="E6" s="2430"/>
      <c r="F6" s="2430"/>
      <c r="G6" s="2430"/>
      <c r="H6" s="2430"/>
      <c r="I6" s="2430"/>
      <c r="J6" s="2399" t="s">
        <v>149</v>
      </c>
      <c r="K6" s="2399"/>
      <c r="L6" s="2400"/>
      <c r="M6" s="107">
        <v>1</v>
      </c>
      <c r="N6" s="2429" t="s">
        <v>1133</v>
      </c>
      <c r="O6" s="2430"/>
      <c r="P6" s="2430"/>
      <c r="Q6" s="2430"/>
      <c r="R6" s="2430"/>
      <c r="S6" s="2430"/>
      <c r="T6" s="2430"/>
      <c r="U6" s="2430"/>
      <c r="V6" s="2399" t="s">
        <v>149</v>
      </c>
      <c r="W6" s="2399"/>
      <c r="X6" s="2400"/>
      <c r="Y6" s="107">
        <v>1</v>
      </c>
      <c r="Z6" s="2429" t="s">
        <v>49</v>
      </c>
      <c r="AA6" s="2430"/>
      <c r="AB6" s="2430"/>
      <c r="AC6" s="2430"/>
      <c r="AD6" s="2430"/>
      <c r="AE6" s="2430"/>
      <c r="AF6" s="2399" t="s">
        <v>149</v>
      </c>
      <c r="AG6" s="2399"/>
      <c r="AH6" s="2400"/>
      <c r="AI6" s="107">
        <v>1</v>
      </c>
      <c r="AJ6" s="2429" t="s">
        <v>518</v>
      </c>
      <c r="AK6" s="2430"/>
      <c r="AL6" s="2430"/>
      <c r="AM6" s="2430"/>
      <c r="AN6" s="2430"/>
      <c r="AO6" s="2430"/>
      <c r="AP6" s="2399" t="s">
        <v>149</v>
      </c>
      <c r="AQ6" s="2399"/>
      <c r="AR6" s="2400"/>
      <c r="AS6" s="107">
        <v>1</v>
      </c>
      <c r="AT6" s="2429" t="s">
        <v>13</v>
      </c>
      <c r="AU6" s="2430"/>
      <c r="AV6" s="2430"/>
      <c r="AW6" s="2430"/>
      <c r="AX6" s="2430"/>
      <c r="AY6" s="2430"/>
      <c r="AZ6" s="2399" t="s">
        <v>149</v>
      </c>
      <c r="BA6" s="2399"/>
      <c r="BB6" s="2400"/>
      <c r="BC6" s="107">
        <v>1</v>
      </c>
    </row>
    <row r="7" spans="1:55" ht="32.25" customHeight="1" thickBot="1" x14ac:dyDescent="0.3">
      <c r="A7" s="1105"/>
      <c r="B7" s="2431" t="s">
        <v>518</v>
      </c>
      <c r="C7" s="2432"/>
      <c r="D7" s="2432"/>
      <c r="E7" s="2432"/>
      <c r="F7" s="2432"/>
      <c r="G7" s="2432"/>
      <c r="H7" s="2432"/>
      <c r="I7" s="2432"/>
      <c r="J7" s="2386" t="s">
        <v>553</v>
      </c>
      <c r="K7" s="2386"/>
      <c r="L7" s="2387"/>
      <c r="M7" s="890">
        <v>2</v>
      </c>
      <c r="N7" s="2431" t="s">
        <v>49</v>
      </c>
      <c r="O7" s="2432"/>
      <c r="P7" s="2432"/>
      <c r="Q7" s="2432"/>
      <c r="R7" s="2432"/>
      <c r="S7" s="2432"/>
      <c r="T7" s="2432"/>
      <c r="U7" s="2432"/>
      <c r="V7" s="2386" t="s">
        <v>553</v>
      </c>
      <c r="W7" s="2386"/>
      <c r="X7" s="2387"/>
      <c r="Y7" s="890">
        <v>2</v>
      </c>
      <c r="Z7" s="2431" t="s">
        <v>1133</v>
      </c>
      <c r="AA7" s="2432"/>
      <c r="AB7" s="2432"/>
      <c r="AC7" s="2432"/>
      <c r="AD7" s="2432"/>
      <c r="AE7" s="2432"/>
      <c r="AF7" s="2386" t="s">
        <v>553</v>
      </c>
      <c r="AG7" s="2386"/>
      <c r="AH7" s="2387"/>
      <c r="AI7" s="890">
        <v>2</v>
      </c>
      <c r="AJ7" s="2431" t="s">
        <v>97</v>
      </c>
      <c r="AK7" s="2432"/>
      <c r="AL7" s="2432"/>
      <c r="AM7" s="2432"/>
      <c r="AN7" s="2432"/>
      <c r="AO7" s="2432"/>
      <c r="AP7" s="2386" t="s">
        <v>553</v>
      </c>
      <c r="AQ7" s="2386"/>
      <c r="AR7" s="2387"/>
      <c r="AS7" s="890">
        <v>2</v>
      </c>
      <c r="AT7" s="2431" t="s">
        <v>13</v>
      </c>
      <c r="AU7" s="2432"/>
      <c r="AV7" s="2432"/>
      <c r="AW7" s="2432"/>
      <c r="AX7" s="2432"/>
      <c r="AY7" s="2432"/>
      <c r="AZ7" s="2386" t="s">
        <v>553</v>
      </c>
      <c r="BA7" s="2386"/>
      <c r="BB7" s="2387"/>
      <c r="BC7" s="890">
        <v>2</v>
      </c>
    </row>
    <row r="8" spans="1:55" ht="32.25" customHeight="1" x14ac:dyDescent="0.25">
      <c r="A8" s="1100" t="s">
        <v>11</v>
      </c>
      <c r="B8" s="2429" t="s">
        <v>49</v>
      </c>
      <c r="C8" s="2430"/>
      <c r="D8" s="2430"/>
      <c r="E8" s="2430"/>
      <c r="F8" s="2430"/>
      <c r="G8" s="2430"/>
      <c r="H8" s="2430"/>
      <c r="I8" s="2430"/>
      <c r="J8" s="2399" t="s">
        <v>149</v>
      </c>
      <c r="K8" s="2399"/>
      <c r="L8" s="2400"/>
      <c r="M8" s="107">
        <v>1</v>
      </c>
      <c r="N8" s="2429" t="s">
        <v>518</v>
      </c>
      <c r="O8" s="2430"/>
      <c r="P8" s="2430"/>
      <c r="Q8" s="2430"/>
      <c r="R8" s="2430"/>
      <c r="S8" s="2430"/>
      <c r="T8" s="2430"/>
      <c r="U8" s="2430"/>
      <c r="V8" s="2399" t="s">
        <v>149</v>
      </c>
      <c r="W8" s="2399"/>
      <c r="X8" s="2400"/>
      <c r="Y8" s="107">
        <v>1</v>
      </c>
      <c r="Z8" s="2429" t="s">
        <v>13</v>
      </c>
      <c r="AA8" s="2430"/>
      <c r="AB8" s="2430"/>
      <c r="AC8" s="2430"/>
      <c r="AD8" s="2430"/>
      <c r="AE8" s="2430"/>
      <c r="AF8" s="2399" t="s">
        <v>149</v>
      </c>
      <c r="AG8" s="2399"/>
      <c r="AH8" s="2400"/>
      <c r="AI8" s="107">
        <v>1</v>
      </c>
      <c r="AJ8" s="2429" t="s">
        <v>1133</v>
      </c>
      <c r="AK8" s="2430"/>
      <c r="AL8" s="2430"/>
      <c r="AM8" s="2430"/>
      <c r="AN8" s="2430"/>
      <c r="AO8" s="2430"/>
      <c r="AP8" s="2399" t="s">
        <v>149</v>
      </c>
      <c r="AQ8" s="2399"/>
      <c r="AR8" s="2400"/>
      <c r="AS8" s="107">
        <v>1</v>
      </c>
      <c r="AT8" s="2429" t="s">
        <v>97</v>
      </c>
      <c r="AU8" s="2430"/>
      <c r="AV8" s="2430"/>
      <c r="AW8" s="2430"/>
      <c r="AX8" s="2430"/>
      <c r="AY8" s="2430"/>
      <c r="AZ8" s="2399" t="s">
        <v>149</v>
      </c>
      <c r="BA8" s="2399"/>
      <c r="BB8" s="2400"/>
      <c r="BC8" s="107">
        <v>1</v>
      </c>
    </row>
    <row r="9" spans="1:55" ht="32.25" customHeight="1" thickBot="1" x14ac:dyDescent="0.3">
      <c r="A9" s="1105"/>
      <c r="B9" s="2431" t="s">
        <v>1133</v>
      </c>
      <c r="C9" s="2432"/>
      <c r="D9" s="2432"/>
      <c r="E9" s="2432"/>
      <c r="F9" s="2432"/>
      <c r="G9" s="2432"/>
      <c r="H9" s="2432"/>
      <c r="I9" s="2432"/>
      <c r="J9" s="2386" t="s">
        <v>553</v>
      </c>
      <c r="K9" s="2386"/>
      <c r="L9" s="2387"/>
      <c r="M9" s="890">
        <v>2</v>
      </c>
      <c r="N9" s="2431" t="s">
        <v>97</v>
      </c>
      <c r="O9" s="2432"/>
      <c r="P9" s="2432"/>
      <c r="Q9" s="2432"/>
      <c r="R9" s="2432"/>
      <c r="S9" s="2432"/>
      <c r="T9" s="2432"/>
      <c r="U9" s="2432"/>
      <c r="V9" s="2386" t="s">
        <v>553</v>
      </c>
      <c r="W9" s="2386"/>
      <c r="X9" s="2387"/>
      <c r="Y9" s="890">
        <v>2</v>
      </c>
      <c r="Z9" s="2431" t="s">
        <v>13</v>
      </c>
      <c r="AA9" s="2432"/>
      <c r="AB9" s="2432"/>
      <c r="AC9" s="2432"/>
      <c r="AD9" s="2432"/>
      <c r="AE9" s="2432"/>
      <c r="AF9" s="2386" t="s">
        <v>553</v>
      </c>
      <c r="AG9" s="2386"/>
      <c r="AH9" s="2387"/>
      <c r="AI9" s="890">
        <v>2</v>
      </c>
      <c r="AJ9" s="2431" t="s">
        <v>49</v>
      </c>
      <c r="AK9" s="2432"/>
      <c r="AL9" s="2432"/>
      <c r="AM9" s="2432"/>
      <c r="AN9" s="2432"/>
      <c r="AO9" s="2432"/>
      <c r="AP9" s="2386" t="s">
        <v>553</v>
      </c>
      <c r="AQ9" s="2386"/>
      <c r="AR9" s="2387"/>
      <c r="AS9" s="890">
        <v>2</v>
      </c>
      <c r="AT9" s="2431" t="s">
        <v>518</v>
      </c>
      <c r="AU9" s="2432"/>
      <c r="AV9" s="2432"/>
      <c r="AW9" s="2432"/>
      <c r="AX9" s="2432"/>
      <c r="AY9" s="2432"/>
      <c r="AZ9" s="2386" t="s">
        <v>553</v>
      </c>
      <c r="BA9" s="2386"/>
      <c r="BB9" s="2387"/>
      <c r="BC9" s="890">
        <v>2</v>
      </c>
    </row>
    <row r="10" spans="1:55" ht="40.5" customHeight="1" x14ac:dyDescent="0.25">
      <c r="A10" s="1100" t="s">
        <v>6</v>
      </c>
      <c r="B10" s="160" t="s">
        <v>569</v>
      </c>
      <c r="C10" s="2372" t="s">
        <v>554</v>
      </c>
      <c r="D10" s="646"/>
      <c r="E10" s="646"/>
      <c r="F10" s="383" t="s">
        <v>571</v>
      </c>
      <c r="G10" s="2372" t="s">
        <v>733</v>
      </c>
      <c r="H10" s="213" t="s">
        <v>573</v>
      </c>
      <c r="I10" s="2378" t="s">
        <v>552</v>
      </c>
      <c r="J10" s="78"/>
      <c r="K10" s="2390"/>
      <c r="L10" s="384"/>
      <c r="M10" s="2443"/>
      <c r="P10" s="383" t="s">
        <v>570</v>
      </c>
      <c r="Q10" s="2373" t="s">
        <v>554</v>
      </c>
      <c r="R10" s="378" t="s">
        <v>571</v>
      </c>
      <c r="S10" s="2373" t="s">
        <v>557</v>
      </c>
      <c r="T10" s="213" t="s">
        <v>573</v>
      </c>
      <c r="U10" s="2377" t="s">
        <v>733</v>
      </c>
      <c r="V10" s="261"/>
      <c r="W10" s="2390"/>
      <c r="X10" s="710"/>
      <c r="Y10" s="2379"/>
      <c r="Z10" s="547" t="s">
        <v>569</v>
      </c>
      <c r="AA10" s="2427" t="s">
        <v>733</v>
      </c>
      <c r="AB10" s="383" t="s">
        <v>570</v>
      </c>
      <c r="AC10" s="2372" t="s">
        <v>552</v>
      </c>
      <c r="AD10" s="383" t="s">
        <v>571</v>
      </c>
      <c r="AE10" s="2372" t="s">
        <v>144</v>
      </c>
      <c r="AF10" s="213" t="s">
        <v>573</v>
      </c>
      <c r="AG10" s="2377" t="s">
        <v>557</v>
      </c>
      <c r="AH10" s="128" t="s">
        <v>574</v>
      </c>
      <c r="AI10" s="2422" t="s">
        <v>145</v>
      </c>
      <c r="AJ10" s="160" t="s">
        <v>569</v>
      </c>
      <c r="AK10" s="2372" t="s">
        <v>1257</v>
      </c>
      <c r="AL10" s="383" t="s">
        <v>570</v>
      </c>
      <c r="AM10" s="2373" t="s">
        <v>557</v>
      </c>
      <c r="AN10" s="161" t="s">
        <v>571</v>
      </c>
      <c r="AO10" s="2427" t="s">
        <v>552</v>
      </c>
      <c r="AP10" s="213" t="s">
        <v>573</v>
      </c>
      <c r="AQ10" s="2378" t="s">
        <v>554</v>
      </c>
      <c r="AR10" s="264" t="s">
        <v>574</v>
      </c>
      <c r="AS10" s="2378" t="s">
        <v>733</v>
      </c>
      <c r="AT10" s="547" t="s">
        <v>569</v>
      </c>
      <c r="AU10" s="2373" t="s">
        <v>552</v>
      </c>
      <c r="AV10" s="383" t="s">
        <v>570</v>
      </c>
      <c r="AW10" s="2373" t="s">
        <v>733</v>
      </c>
      <c r="AZ10" s="78"/>
      <c r="BA10" s="2390"/>
      <c r="BB10" s="264" t="s">
        <v>574</v>
      </c>
      <c r="BC10" s="2435" t="s">
        <v>554</v>
      </c>
    </row>
    <row r="11" spans="1:55" ht="35.25" customHeight="1" x14ac:dyDescent="0.25">
      <c r="A11" s="1105"/>
      <c r="B11" s="2438" t="s">
        <v>518</v>
      </c>
      <c r="C11" s="2373"/>
      <c r="D11" s="646"/>
      <c r="E11" s="646"/>
      <c r="F11" s="2436" t="s">
        <v>49</v>
      </c>
      <c r="G11" s="2373"/>
      <c r="H11" s="2384" t="s">
        <v>97</v>
      </c>
      <c r="I11" s="2378"/>
      <c r="J11" s="2338"/>
      <c r="K11" s="2356"/>
      <c r="L11" s="2487"/>
      <c r="M11" s="2444"/>
      <c r="P11" s="2436" t="s">
        <v>518</v>
      </c>
      <c r="Q11" s="2373"/>
      <c r="R11" s="1190" t="s">
        <v>1133</v>
      </c>
      <c r="S11" s="2373"/>
      <c r="T11" s="2449" t="s">
        <v>49</v>
      </c>
      <c r="U11" s="2378"/>
      <c r="V11" s="2338"/>
      <c r="W11" s="2356"/>
      <c r="X11" s="2348"/>
      <c r="Y11" s="2380"/>
      <c r="Z11" s="2438" t="s">
        <v>49</v>
      </c>
      <c r="AA11" s="2373"/>
      <c r="AB11" s="1190" t="s">
        <v>97</v>
      </c>
      <c r="AC11" s="2373"/>
      <c r="AD11" s="2436" t="s">
        <v>13</v>
      </c>
      <c r="AE11" s="2373"/>
      <c r="AF11" s="2384" t="s">
        <v>1133</v>
      </c>
      <c r="AG11" s="2378"/>
      <c r="AH11" s="2449" t="s">
        <v>13</v>
      </c>
      <c r="AI11" s="2422"/>
      <c r="AJ11" s="2438" t="s">
        <v>13</v>
      </c>
      <c r="AK11" s="2373"/>
      <c r="AL11" s="1190" t="s">
        <v>1133</v>
      </c>
      <c r="AM11" s="2373"/>
      <c r="AN11" s="1289" t="s">
        <v>97</v>
      </c>
      <c r="AO11" s="2373"/>
      <c r="AP11" s="2449" t="s">
        <v>518</v>
      </c>
      <c r="AQ11" s="2378"/>
      <c r="AR11" s="2493" t="s">
        <v>49</v>
      </c>
      <c r="AS11" s="2378"/>
      <c r="AT11" s="1192" t="s">
        <v>97</v>
      </c>
      <c r="AU11" s="2373"/>
      <c r="AV11" s="2436" t="s">
        <v>49</v>
      </c>
      <c r="AW11" s="2373"/>
      <c r="AZ11" s="2338"/>
      <c r="BA11" s="2356"/>
      <c r="BB11" s="2449" t="s">
        <v>518</v>
      </c>
      <c r="BC11" s="2422"/>
    </row>
    <row r="12" spans="1:55" ht="37.5" customHeight="1" x14ac:dyDescent="0.25">
      <c r="A12" s="1100" t="s">
        <v>7</v>
      </c>
      <c r="B12" s="2438"/>
      <c r="C12" s="2373"/>
      <c r="D12" s="646"/>
      <c r="E12" s="646"/>
      <c r="F12" s="2436"/>
      <c r="G12" s="2373"/>
      <c r="H12" s="2384"/>
      <c r="I12" s="2378"/>
      <c r="J12" s="2338"/>
      <c r="K12" s="2356"/>
      <c r="L12" s="2487"/>
      <c r="M12" s="2444"/>
      <c r="P12" s="2436"/>
      <c r="Q12" s="2373"/>
      <c r="R12" s="1190"/>
      <c r="S12" s="2373"/>
      <c r="T12" s="2449"/>
      <c r="U12" s="2378"/>
      <c r="V12" s="2338"/>
      <c r="W12" s="2356"/>
      <c r="X12" s="2348"/>
      <c r="Y12" s="2380"/>
      <c r="Z12" s="2438"/>
      <c r="AA12" s="2373"/>
      <c r="AB12" s="1190"/>
      <c r="AC12" s="2373"/>
      <c r="AD12" s="2436"/>
      <c r="AE12" s="2373"/>
      <c r="AF12" s="2384"/>
      <c r="AG12" s="2378"/>
      <c r="AH12" s="2449"/>
      <c r="AI12" s="2422"/>
      <c r="AJ12" s="2438"/>
      <c r="AK12" s="2373"/>
      <c r="AL12" s="1190"/>
      <c r="AM12" s="2373"/>
      <c r="AN12" s="1289"/>
      <c r="AO12" s="2373"/>
      <c r="AP12" s="2449"/>
      <c r="AQ12" s="2378"/>
      <c r="AR12" s="2493"/>
      <c r="AS12" s="2378"/>
      <c r="AT12" s="1192"/>
      <c r="AU12" s="2373"/>
      <c r="AV12" s="2436"/>
      <c r="AW12" s="2373"/>
      <c r="AZ12" s="2338"/>
      <c r="BA12" s="2356"/>
      <c r="BB12" s="2449"/>
      <c r="BC12" s="2422"/>
    </row>
    <row r="13" spans="1:55" ht="35.25" customHeight="1" x14ac:dyDescent="0.25">
      <c r="A13" s="1105"/>
      <c r="B13" s="2439"/>
      <c r="C13" s="2374"/>
      <c r="D13" s="647"/>
      <c r="E13" s="647"/>
      <c r="F13" s="2451"/>
      <c r="G13" s="2374"/>
      <c r="H13" s="2385"/>
      <c r="I13" s="2378"/>
      <c r="J13" s="2339"/>
      <c r="K13" s="2358"/>
      <c r="L13" s="2488"/>
      <c r="M13" s="2445"/>
      <c r="N13" s="101"/>
      <c r="P13" s="2451"/>
      <c r="Q13" s="2374"/>
      <c r="R13" s="1226"/>
      <c r="S13" s="2373"/>
      <c r="T13" s="2450"/>
      <c r="U13" s="2393"/>
      <c r="V13" s="2339"/>
      <c r="W13" s="2358"/>
      <c r="X13" s="2442"/>
      <c r="Y13" s="2381"/>
      <c r="Z13" s="2439"/>
      <c r="AA13" s="2373"/>
      <c r="AB13" s="1226"/>
      <c r="AC13" s="2374"/>
      <c r="AD13" s="2451"/>
      <c r="AE13" s="2374"/>
      <c r="AF13" s="2385"/>
      <c r="AG13" s="2393"/>
      <c r="AH13" s="2450"/>
      <c r="AI13" s="2433"/>
      <c r="AJ13" s="2439"/>
      <c r="AK13" s="2374"/>
      <c r="AL13" s="1226"/>
      <c r="AM13" s="2374"/>
      <c r="AN13" s="1290"/>
      <c r="AO13" s="2373"/>
      <c r="AP13" s="2449"/>
      <c r="AQ13" s="2393"/>
      <c r="AR13" s="2493"/>
      <c r="AS13" s="2393"/>
      <c r="AT13" s="1193"/>
      <c r="AU13" s="2374"/>
      <c r="AV13" s="2451"/>
      <c r="AW13" s="2373"/>
      <c r="AZ13" s="2339"/>
      <c r="BA13" s="2358"/>
      <c r="BB13" s="2450"/>
      <c r="BC13" s="2433"/>
    </row>
    <row r="14" spans="1:55" ht="43.5" customHeight="1" x14ac:dyDescent="0.25">
      <c r="A14" s="1100" t="s">
        <v>8</v>
      </c>
      <c r="B14" s="136"/>
      <c r="C14" s="2360"/>
      <c r="D14" s="203"/>
      <c r="E14" s="203"/>
      <c r="F14" s="191"/>
      <c r="G14" s="2359"/>
      <c r="H14" s="261"/>
      <c r="I14" s="2359"/>
      <c r="J14" s="191"/>
      <c r="K14" s="2356"/>
      <c r="L14" s="259"/>
      <c r="M14" s="2360"/>
      <c r="N14" s="471"/>
      <c r="O14" s="2359"/>
      <c r="P14" s="137"/>
      <c r="Q14" s="2360"/>
      <c r="R14" s="383" t="s">
        <v>571</v>
      </c>
      <c r="S14" s="2427" t="s">
        <v>554</v>
      </c>
      <c r="T14" s="135"/>
      <c r="U14" s="2332"/>
      <c r="V14" s="137"/>
      <c r="W14" s="2360"/>
      <c r="X14" s="711"/>
      <c r="Y14" s="2364"/>
      <c r="Z14" s="69"/>
      <c r="AA14" s="2359"/>
      <c r="AB14" s="261"/>
      <c r="AC14" s="2356"/>
      <c r="AF14" s="213" t="s">
        <v>573</v>
      </c>
      <c r="AG14" s="2460" t="s">
        <v>144</v>
      </c>
      <c r="AH14" s="213" t="s">
        <v>574</v>
      </c>
      <c r="AI14" s="2421" t="s">
        <v>552</v>
      </c>
      <c r="AJ14" s="471"/>
      <c r="AK14" s="2359"/>
      <c r="AL14" s="383" t="s">
        <v>570</v>
      </c>
      <c r="AM14" s="2427" t="s">
        <v>144</v>
      </c>
      <c r="AN14" s="261"/>
      <c r="AO14" s="2359"/>
      <c r="AP14" s="259"/>
      <c r="AQ14" s="2360"/>
      <c r="AR14" s="194"/>
      <c r="AT14" s="136"/>
      <c r="AU14" s="2360"/>
      <c r="AV14" s="137"/>
      <c r="AW14" s="2360"/>
      <c r="AX14" s="157"/>
      <c r="AY14" s="2360"/>
      <c r="AZ14" s="259"/>
      <c r="BA14" s="2360"/>
      <c r="BB14" s="69"/>
      <c r="BC14" s="2334"/>
    </row>
    <row r="15" spans="1:55" ht="36" customHeight="1" x14ac:dyDescent="0.25">
      <c r="A15" s="1105"/>
      <c r="B15" s="2336"/>
      <c r="C15" s="2332"/>
      <c r="D15" s="203"/>
      <c r="E15" s="203"/>
      <c r="F15" s="1794"/>
      <c r="G15" s="2356"/>
      <c r="H15" s="2338"/>
      <c r="I15" s="2356"/>
      <c r="J15" s="2340"/>
      <c r="K15" s="2356"/>
      <c r="L15" s="2342"/>
      <c r="M15" s="2332"/>
      <c r="N15" s="2344"/>
      <c r="O15" s="2356"/>
      <c r="P15" s="2342"/>
      <c r="Q15" s="2332"/>
      <c r="R15" s="2436" t="s">
        <v>518</v>
      </c>
      <c r="S15" s="2373"/>
      <c r="T15" s="2342"/>
      <c r="U15" s="2332"/>
      <c r="V15" s="2342"/>
      <c r="W15" s="2332"/>
      <c r="X15" s="2348"/>
      <c r="Y15" s="2365"/>
      <c r="Z15" s="2340"/>
      <c r="AA15" s="2356"/>
      <c r="AB15" s="2338"/>
      <c r="AC15" s="2356"/>
      <c r="AF15" s="2449" t="s">
        <v>13</v>
      </c>
      <c r="AG15" s="2378"/>
      <c r="AH15" s="2384" t="s">
        <v>97</v>
      </c>
      <c r="AI15" s="2422"/>
      <c r="AJ15" s="2344"/>
      <c r="AK15" s="2356"/>
      <c r="AL15" s="2436" t="s">
        <v>13</v>
      </c>
      <c r="AM15" s="2373"/>
      <c r="AN15" s="2338"/>
      <c r="AO15" s="2356"/>
      <c r="AP15" s="2342"/>
      <c r="AQ15" s="2332"/>
      <c r="AT15" s="2336"/>
      <c r="AU15" s="2332"/>
      <c r="AV15" s="2354"/>
      <c r="AW15" s="2332"/>
      <c r="AX15" s="2354"/>
      <c r="AY15" s="2332"/>
      <c r="AZ15" s="2342"/>
      <c r="BA15" s="2332"/>
      <c r="BB15" s="2338"/>
      <c r="BC15" s="2334"/>
    </row>
    <row r="16" spans="1:55" ht="35.25" customHeight="1" x14ac:dyDescent="0.25">
      <c r="A16" s="1550" t="s">
        <v>9</v>
      </c>
      <c r="B16" s="2336"/>
      <c r="C16" s="2332"/>
      <c r="D16" s="203"/>
      <c r="E16" s="203"/>
      <c r="F16" s="1794"/>
      <c r="G16" s="2356"/>
      <c r="H16" s="2338"/>
      <c r="I16" s="2356"/>
      <c r="J16" s="2340"/>
      <c r="K16" s="2356"/>
      <c r="L16" s="2342"/>
      <c r="M16" s="2332"/>
      <c r="N16" s="2344"/>
      <c r="O16" s="2356"/>
      <c r="P16" s="2342"/>
      <c r="Q16" s="2332"/>
      <c r="R16" s="2436"/>
      <c r="S16" s="2373"/>
      <c r="T16" s="2342"/>
      <c r="U16" s="2332"/>
      <c r="V16" s="2342"/>
      <c r="W16" s="2332"/>
      <c r="X16" s="2348"/>
      <c r="Y16" s="2365"/>
      <c r="Z16" s="2340"/>
      <c r="AA16" s="2356"/>
      <c r="AB16" s="2338"/>
      <c r="AC16" s="2356"/>
      <c r="AF16" s="2449"/>
      <c r="AG16" s="2378"/>
      <c r="AH16" s="2384"/>
      <c r="AI16" s="2422"/>
      <c r="AJ16" s="2344"/>
      <c r="AK16" s="2356"/>
      <c r="AL16" s="2436"/>
      <c r="AM16" s="2373"/>
      <c r="AN16" s="2338"/>
      <c r="AO16" s="2356"/>
      <c r="AP16" s="2342"/>
      <c r="AQ16" s="2332"/>
      <c r="AT16" s="2336"/>
      <c r="AU16" s="2332"/>
      <c r="AV16" s="2354"/>
      <c r="AW16" s="2332"/>
      <c r="AX16" s="2354"/>
      <c r="AY16" s="2332"/>
      <c r="AZ16" s="2342"/>
      <c r="BA16" s="2332"/>
      <c r="BB16" s="2338"/>
      <c r="BC16" s="2334"/>
    </row>
    <row r="17" spans="1:56" ht="35.25" customHeight="1" thickBot="1" x14ac:dyDescent="0.3">
      <c r="A17" s="1484"/>
      <c r="B17" s="2337"/>
      <c r="C17" s="2333"/>
      <c r="D17" s="648"/>
      <c r="E17" s="648"/>
      <c r="F17" s="2002"/>
      <c r="G17" s="2357"/>
      <c r="H17" s="2339"/>
      <c r="I17" s="2357"/>
      <c r="J17" s="2341"/>
      <c r="K17" s="2358"/>
      <c r="L17" s="2343"/>
      <c r="M17" s="2333"/>
      <c r="N17" s="2345"/>
      <c r="O17" s="2357"/>
      <c r="P17" s="2343"/>
      <c r="Q17" s="2333"/>
      <c r="R17" s="2437"/>
      <c r="S17" s="2428"/>
      <c r="T17" s="2343"/>
      <c r="U17" s="2333"/>
      <c r="V17" s="2343"/>
      <c r="W17" s="2333"/>
      <c r="X17" s="2349"/>
      <c r="Y17" s="2366"/>
      <c r="Z17" s="2341"/>
      <c r="AA17" s="2357"/>
      <c r="AB17" s="2338"/>
      <c r="AC17" s="2356"/>
      <c r="AD17" s="407"/>
      <c r="AF17" s="2459"/>
      <c r="AG17" s="2461"/>
      <c r="AH17" s="2434"/>
      <c r="AI17" s="2423"/>
      <c r="AJ17" s="2345"/>
      <c r="AK17" s="2357"/>
      <c r="AL17" s="2437"/>
      <c r="AM17" s="2428"/>
      <c r="AN17" s="2346"/>
      <c r="AO17" s="2357"/>
      <c r="AP17" s="2343"/>
      <c r="AQ17" s="2333"/>
      <c r="AS17" s="36"/>
      <c r="AT17" s="2337"/>
      <c r="AU17" s="2333"/>
      <c r="AV17" s="2355"/>
      <c r="AW17" s="2333"/>
      <c r="AX17" s="2355"/>
      <c r="AY17" s="2333"/>
      <c r="AZ17" s="2343"/>
      <c r="BA17" s="2333"/>
      <c r="BB17" s="2346"/>
      <c r="BC17" s="2335"/>
    </row>
    <row r="18" spans="1:56" s="2" customFormat="1" ht="24" customHeight="1" thickBot="1" x14ac:dyDescent="0.3">
      <c r="A18" s="19" t="s">
        <v>1</v>
      </c>
      <c r="B18" s="975" t="s">
        <v>2</v>
      </c>
      <c r="C18" s="976"/>
      <c r="D18" s="976"/>
      <c r="E18" s="976"/>
      <c r="F18" s="976"/>
      <c r="G18" s="976"/>
      <c r="H18" s="976"/>
      <c r="I18" s="976"/>
      <c r="J18" s="976"/>
      <c r="K18" s="976"/>
      <c r="L18" s="976"/>
      <c r="M18" s="977"/>
      <c r="N18" s="975" t="s">
        <v>3</v>
      </c>
      <c r="O18" s="976"/>
      <c r="P18" s="976"/>
      <c r="Q18" s="976"/>
      <c r="R18" s="976"/>
      <c r="S18" s="976"/>
      <c r="T18" s="976"/>
      <c r="U18" s="976"/>
      <c r="V18" s="976"/>
      <c r="W18" s="976"/>
      <c r="X18" s="976"/>
      <c r="Y18" s="977"/>
      <c r="Z18" s="975" t="s">
        <v>135</v>
      </c>
      <c r="AA18" s="976"/>
      <c r="AB18" s="976"/>
      <c r="AC18" s="976"/>
      <c r="AD18" s="976"/>
      <c r="AE18" s="976"/>
      <c r="AF18" s="976"/>
      <c r="AG18" s="976"/>
      <c r="AH18" s="976"/>
      <c r="AI18" s="977"/>
      <c r="AJ18" s="975" t="s">
        <v>4</v>
      </c>
      <c r="AK18" s="976"/>
      <c r="AL18" s="976"/>
      <c r="AM18" s="976"/>
      <c r="AN18" s="976"/>
      <c r="AO18" s="976"/>
      <c r="AP18" s="976"/>
      <c r="AQ18" s="976"/>
      <c r="AR18" s="976"/>
      <c r="AS18" s="977"/>
      <c r="AT18" s="975" t="s">
        <v>5</v>
      </c>
      <c r="AU18" s="976"/>
      <c r="AV18" s="976"/>
      <c r="AW18" s="976"/>
      <c r="AX18" s="976"/>
      <c r="AY18" s="976"/>
      <c r="AZ18" s="976"/>
      <c r="BA18" s="976"/>
      <c r="BB18" s="976"/>
      <c r="BC18" s="977"/>
    </row>
    <row r="19" spans="1:56" ht="35.25" customHeight="1" x14ac:dyDescent="0.25">
      <c r="A19" s="1100" t="s">
        <v>182</v>
      </c>
      <c r="B19" s="136"/>
      <c r="C19" s="2332"/>
      <c r="D19" s="203"/>
      <c r="E19" s="203"/>
      <c r="F19" s="261"/>
      <c r="G19" s="2356"/>
      <c r="H19" s="261"/>
      <c r="I19" s="2356"/>
      <c r="J19" s="261"/>
      <c r="K19" s="2356"/>
      <c r="L19" s="135"/>
      <c r="M19" s="2332"/>
      <c r="N19" s="471"/>
      <c r="O19" s="2359"/>
      <c r="P19" s="137"/>
      <c r="Q19" s="2360"/>
      <c r="R19" s="261"/>
      <c r="S19" s="2359"/>
      <c r="T19" s="135"/>
      <c r="U19" s="2332"/>
      <c r="V19" s="828" t="s">
        <v>574</v>
      </c>
      <c r="W19" s="2361" t="s">
        <v>557</v>
      </c>
      <c r="X19" s="711"/>
      <c r="Y19" s="2364"/>
      <c r="Z19" s="523" t="s">
        <v>569</v>
      </c>
      <c r="AA19" s="2367" t="s">
        <v>732</v>
      </c>
      <c r="AB19" s="261"/>
      <c r="AC19" s="2356"/>
      <c r="AD19" s="10"/>
      <c r="AE19" s="10"/>
      <c r="AF19" s="261"/>
      <c r="AG19" s="2356"/>
      <c r="AH19" s="261"/>
      <c r="AI19" s="2334"/>
      <c r="AJ19" s="137"/>
      <c r="AK19" s="2332"/>
      <c r="AL19" s="261"/>
      <c r="AM19" s="2356"/>
      <c r="AN19" s="261"/>
      <c r="AO19" s="2356"/>
      <c r="AP19" s="135"/>
      <c r="AQ19" s="2332"/>
      <c r="AR19" s="279"/>
      <c r="AT19" s="136"/>
      <c r="AU19" s="2332"/>
      <c r="AV19" s="137"/>
      <c r="AW19" s="2332"/>
      <c r="AX19" s="137"/>
      <c r="AY19" s="2332"/>
      <c r="AZ19" s="135"/>
      <c r="BA19" s="2332"/>
      <c r="BB19" s="69"/>
      <c r="BC19" s="2334"/>
    </row>
    <row r="20" spans="1:56" ht="30.75" customHeight="1" x14ac:dyDescent="0.25">
      <c r="A20" s="1105"/>
      <c r="B20" s="2336"/>
      <c r="C20" s="2332"/>
      <c r="D20" s="203"/>
      <c r="E20" s="203"/>
      <c r="F20" s="1794"/>
      <c r="G20" s="2356"/>
      <c r="H20" s="2338"/>
      <c r="I20" s="2356"/>
      <c r="J20" s="2340"/>
      <c r="K20" s="2356"/>
      <c r="L20" s="2342"/>
      <c r="M20" s="2332"/>
      <c r="N20" s="2344"/>
      <c r="O20" s="2356"/>
      <c r="P20" s="2342"/>
      <c r="Q20" s="2332"/>
      <c r="R20" s="2338"/>
      <c r="S20" s="2356"/>
      <c r="T20" s="2342"/>
      <c r="U20" s="2332"/>
      <c r="V20" s="2347" t="s">
        <v>1133</v>
      </c>
      <c r="W20" s="2362"/>
      <c r="X20" s="2348"/>
      <c r="Y20" s="2365"/>
      <c r="Z20" s="2350" t="s">
        <v>1133</v>
      </c>
      <c r="AA20" s="2367"/>
      <c r="AB20" s="2338"/>
      <c r="AC20" s="2356"/>
      <c r="AD20" s="10"/>
      <c r="AE20" s="10"/>
      <c r="AF20" s="2338"/>
      <c r="AG20" s="2356"/>
      <c r="AH20" s="2338"/>
      <c r="AI20" s="2334"/>
      <c r="AJ20" s="2352"/>
      <c r="AK20" s="2332"/>
      <c r="AL20" s="2338"/>
      <c r="AM20" s="2356"/>
      <c r="AN20" s="2338"/>
      <c r="AO20" s="2356"/>
      <c r="AP20" s="2342"/>
      <c r="AQ20" s="2332"/>
      <c r="AT20" s="2336"/>
      <c r="AU20" s="2332"/>
      <c r="AV20" s="2354"/>
      <c r="AW20" s="2332"/>
      <c r="AX20" s="2354"/>
      <c r="AY20" s="2332"/>
      <c r="AZ20" s="2342"/>
      <c r="BA20" s="2332"/>
      <c r="BB20" s="2338"/>
      <c r="BC20" s="2334"/>
    </row>
    <row r="21" spans="1:56" ht="34.5" customHeight="1" x14ac:dyDescent="0.25">
      <c r="A21" s="1550" t="s">
        <v>184</v>
      </c>
      <c r="B21" s="2336"/>
      <c r="C21" s="2332"/>
      <c r="D21" s="203"/>
      <c r="E21" s="203"/>
      <c r="F21" s="1794"/>
      <c r="G21" s="2356"/>
      <c r="H21" s="2338"/>
      <c r="I21" s="2356"/>
      <c r="J21" s="2340"/>
      <c r="K21" s="2356"/>
      <c r="L21" s="2342"/>
      <c r="M21" s="2332"/>
      <c r="N21" s="2344"/>
      <c r="O21" s="2356"/>
      <c r="P21" s="2342"/>
      <c r="Q21" s="2332"/>
      <c r="R21" s="2338"/>
      <c r="S21" s="2356"/>
      <c r="T21" s="2342"/>
      <c r="U21" s="2332"/>
      <c r="V21" s="2347"/>
      <c r="W21" s="2362"/>
      <c r="X21" s="2348"/>
      <c r="Y21" s="2365"/>
      <c r="Z21" s="2350"/>
      <c r="AA21" s="2367"/>
      <c r="AB21" s="2338"/>
      <c r="AC21" s="2356"/>
      <c r="AD21" s="10"/>
      <c r="AE21" s="10"/>
      <c r="AF21" s="2338"/>
      <c r="AG21" s="2356"/>
      <c r="AH21" s="2338"/>
      <c r="AI21" s="2334"/>
      <c r="AJ21" s="2352"/>
      <c r="AK21" s="2332"/>
      <c r="AL21" s="2338"/>
      <c r="AM21" s="2356"/>
      <c r="AN21" s="2338"/>
      <c r="AO21" s="2356"/>
      <c r="AP21" s="2342"/>
      <c r="AQ21" s="2332"/>
      <c r="AT21" s="2336"/>
      <c r="AU21" s="2332"/>
      <c r="AV21" s="2354"/>
      <c r="AW21" s="2332"/>
      <c r="AX21" s="2354"/>
      <c r="AY21" s="2332"/>
      <c r="AZ21" s="2342"/>
      <c r="BA21" s="2332"/>
      <c r="BB21" s="2338"/>
      <c r="BC21" s="2334"/>
    </row>
    <row r="22" spans="1:56" ht="34.5" customHeight="1" thickBot="1" x14ac:dyDescent="0.3">
      <c r="A22" s="1484"/>
      <c r="B22" s="2337"/>
      <c r="C22" s="2333"/>
      <c r="D22" s="648"/>
      <c r="E22" s="648"/>
      <c r="F22" s="2002"/>
      <c r="G22" s="2357"/>
      <c r="H22" s="2339"/>
      <c r="I22" s="2357"/>
      <c r="J22" s="2341"/>
      <c r="K22" s="2358"/>
      <c r="L22" s="2343"/>
      <c r="M22" s="2333"/>
      <c r="N22" s="2345"/>
      <c r="O22" s="2357"/>
      <c r="P22" s="2343"/>
      <c r="Q22" s="2333"/>
      <c r="R22" s="2346"/>
      <c r="S22" s="2357"/>
      <c r="T22" s="2343"/>
      <c r="U22" s="2333"/>
      <c r="V22" s="2347"/>
      <c r="W22" s="2363"/>
      <c r="X22" s="2349"/>
      <c r="Y22" s="2366"/>
      <c r="Z22" s="2351"/>
      <c r="AA22" s="2368"/>
      <c r="AB22" s="2338"/>
      <c r="AC22" s="2356"/>
      <c r="AD22" s="657"/>
      <c r="AE22" s="10"/>
      <c r="AF22" s="2346"/>
      <c r="AG22" s="2357"/>
      <c r="AH22" s="2346"/>
      <c r="AI22" s="2335"/>
      <c r="AJ22" s="2353"/>
      <c r="AK22" s="2333"/>
      <c r="AL22" s="2346"/>
      <c r="AM22" s="2357"/>
      <c r="AN22" s="2346"/>
      <c r="AO22" s="2357"/>
      <c r="AP22" s="2343"/>
      <c r="AQ22" s="2333"/>
      <c r="AS22" s="36"/>
      <c r="AT22" s="2337"/>
      <c r="AU22" s="2333"/>
      <c r="AV22" s="2355"/>
      <c r="AW22" s="2333"/>
      <c r="AX22" s="2355"/>
      <c r="AY22" s="2333"/>
      <c r="AZ22" s="2343"/>
      <c r="BA22" s="2333"/>
      <c r="BB22" s="2346"/>
      <c r="BC22" s="233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2" t="s">
        <v>214</v>
      </c>
      <c r="B24" s="2453"/>
      <c r="C24" s="2453"/>
      <c r="D24" s="2453"/>
      <c r="E24" s="2454"/>
      <c r="F24" s="2446" t="s">
        <v>215</v>
      </c>
      <c r="G24" s="2447"/>
      <c r="H24" s="2447"/>
      <c r="I24" s="2447"/>
      <c r="J24" s="2447"/>
      <c r="K24" s="2447"/>
      <c r="L24" s="2447"/>
      <c r="M24" s="2447"/>
      <c r="N24" s="2447"/>
      <c r="O24" s="2447"/>
      <c r="P24" s="2447"/>
      <c r="Q24" s="2447"/>
      <c r="R24" s="2447"/>
      <c r="S24" s="2447"/>
      <c r="T24" s="2447"/>
      <c r="U24" s="2447"/>
      <c r="V24" s="2447"/>
      <c r="W24" s="2447"/>
      <c r="X24" s="2447"/>
      <c r="Y24" s="2448"/>
      <c r="Z24" s="2440" t="s">
        <v>316</v>
      </c>
      <c r="AA24" s="2440"/>
      <c r="AB24" s="2440"/>
      <c r="AC24" s="2440"/>
      <c r="AD24" s="2440" t="s">
        <v>139</v>
      </c>
      <c r="AE24" s="2440"/>
      <c r="AF24" s="2440"/>
      <c r="AG24" s="2440"/>
      <c r="AH24" s="2440" t="s">
        <v>163</v>
      </c>
      <c r="AI24" s="2440"/>
      <c r="AJ24" s="2440"/>
      <c r="AK24" s="2440"/>
      <c r="AL24" s="2440"/>
      <c r="AM24" s="2440"/>
      <c r="AN24" s="2440"/>
      <c r="AO24" s="2440"/>
      <c r="AP24" s="2440"/>
      <c r="AQ24" s="2440"/>
      <c r="AR24" s="2440"/>
      <c r="AS24" s="2440"/>
      <c r="AT24" s="2440"/>
      <c r="AU24" s="2440"/>
      <c r="AV24" s="2440"/>
      <c r="AW24" s="2440"/>
      <c r="AX24" s="2440"/>
      <c r="AY24" s="2440"/>
      <c r="AZ24" s="2440"/>
      <c r="BA24" s="2440"/>
      <c r="BB24" s="2440"/>
      <c r="BC24" s="2441"/>
    </row>
    <row r="25" spans="1:56" s="106" customFormat="1" ht="21" customHeight="1" x14ac:dyDescent="0.3">
      <c r="A25" s="2408" t="s">
        <v>909</v>
      </c>
      <c r="B25" s="2409"/>
      <c r="C25" s="2409"/>
      <c r="D25" s="2409"/>
      <c r="E25" s="2410"/>
      <c r="F25" s="2375" t="str">
        <f>VLOOKUP(Z25,ASIGNATURAS!$F$1:$L$1022, 4, FALSE)</f>
        <v xml:space="preserve">Álgebra Lineal </v>
      </c>
      <c r="G25" s="2375"/>
      <c r="H25" s="2375"/>
      <c r="I25" s="2375"/>
      <c r="J25" s="2375"/>
      <c r="K25" s="2375"/>
      <c r="L25" s="2375"/>
      <c r="M25" s="2375"/>
      <c r="N25" s="2375"/>
      <c r="O25" s="2375"/>
      <c r="P25" s="2375"/>
      <c r="Q25" s="2375"/>
      <c r="R25" s="2375"/>
      <c r="S25" s="2375"/>
      <c r="T25" s="2375"/>
      <c r="U25" s="2375"/>
      <c r="V25" s="2375"/>
      <c r="W25" s="2375"/>
      <c r="X25" s="2375"/>
      <c r="Y25" s="2375"/>
      <c r="Z25" s="2401">
        <v>8797</v>
      </c>
      <c r="AA25" s="2401"/>
      <c r="AB25" s="2401"/>
      <c r="AC25" s="2401"/>
      <c r="AD25" s="2401">
        <f>VLOOKUP(Z25,ASIGNATURAS!$F$1:$L$1022, 5, FALSE)</f>
        <v>6</v>
      </c>
      <c r="AE25" s="2401"/>
      <c r="AF25" s="2401"/>
      <c r="AG25" s="2401"/>
      <c r="AH25" s="2375" t="str">
        <f>VLOOKUP(Z25,ASIGNATURAS!$F$1:$L$1022, 6, FALSE)</f>
        <v>Mª Begoña Torres, Zaíra Pérez</v>
      </c>
      <c r="AI25" s="2375"/>
      <c r="AJ25" s="2375"/>
      <c r="AK25" s="2375"/>
      <c r="AL25" s="2375"/>
      <c r="AM25" s="2375"/>
      <c r="AN25" s="2375"/>
      <c r="AO25" s="2375"/>
      <c r="AP25" s="2375"/>
      <c r="AQ25" s="2375"/>
      <c r="AR25" s="2375"/>
      <c r="AS25" s="2375"/>
      <c r="AT25" s="2375"/>
      <c r="AU25" s="2375"/>
      <c r="AV25" s="2375"/>
      <c r="AW25" s="2375"/>
      <c r="AX25" s="2375"/>
      <c r="AY25" s="2375"/>
      <c r="AZ25" s="2375"/>
      <c r="BA25" s="2375"/>
      <c r="BB25" s="2375"/>
      <c r="BC25" s="2376"/>
    </row>
    <row r="26" spans="1:56" s="106" customFormat="1" ht="21" customHeight="1" x14ac:dyDescent="0.3">
      <c r="A26" s="2408" t="s">
        <v>926</v>
      </c>
      <c r="B26" s="2409"/>
      <c r="C26" s="2409"/>
      <c r="D26" s="2409"/>
      <c r="E26" s="2410"/>
      <c r="F26" s="2375" t="str">
        <f>VLOOKUP(Z26,ASIGNATURAS!$F$1:$L$1022, 4, FALSE)</f>
        <v xml:space="preserve">Informática Básica </v>
      </c>
      <c r="G26" s="2375"/>
      <c r="H26" s="2375"/>
      <c r="I26" s="2375"/>
      <c r="J26" s="2375"/>
      <c r="K26" s="2375"/>
      <c r="L26" s="2375"/>
      <c r="M26" s="2375"/>
      <c r="N26" s="2375"/>
      <c r="O26" s="2375"/>
      <c r="P26" s="2375"/>
      <c r="Q26" s="2375"/>
      <c r="R26" s="2375"/>
      <c r="S26" s="2375"/>
      <c r="T26" s="2375"/>
      <c r="U26" s="2375"/>
      <c r="V26" s="2375"/>
      <c r="W26" s="2375"/>
      <c r="X26" s="2375"/>
      <c r="Y26" s="2375"/>
      <c r="Z26" s="2401">
        <v>8798</v>
      </c>
      <c r="AA26" s="2401"/>
      <c r="AB26" s="2401"/>
      <c r="AC26" s="2401"/>
      <c r="AD26" s="2401">
        <f>VLOOKUP(Z26,ASIGNATURAS!$F$1:$L$1022, 5, FALSE)</f>
        <v>6</v>
      </c>
      <c r="AE26" s="2401"/>
      <c r="AF26" s="2401"/>
      <c r="AG26" s="2401"/>
      <c r="AH26" s="2375" t="str">
        <f>VLOOKUP(Z26,ASIGNATURAS!$F$1:$L$1022, 6, FALSE)</f>
        <v>Virginia Martínez, Mario Martínez</v>
      </c>
      <c r="AI26" s="2375"/>
      <c r="AJ26" s="2375"/>
      <c r="AK26" s="2375"/>
      <c r="AL26" s="2375"/>
      <c r="AM26" s="2375"/>
      <c r="AN26" s="2375"/>
      <c r="AO26" s="2375"/>
      <c r="AP26" s="2375"/>
      <c r="AQ26" s="2375"/>
      <c r="AR26" s="2375"/>
      <c r="AS26" s="2375"/>
      <c r="AT26" s="2375"/>
      <c r="AU26" s="2375"/>
      <c r="AV26" s="2375"/>
      <c r="AW26" s="2375"/>
      <c r="AX26" s="2375"/>
      <c r="AY26" s="2375"/>
      <c r="AZ26" s="2375"/>
      <c r="BA26" s="2375"/>
      <c r="BB26" s="2375"/>
      <c r="BC26" s="2376"/>
    </row>
    <row r="27" spans="1:56" s="106" customFormat="1" ht="21" customHeight="1" x14ac:dyDescent="0.3">
      <c r="A27" s="2408" t="s">
        <v>922</v>
      </c>
      <c r="B27" s="2409"/>
      <c r="C27" s="2409"/>
      <c r="D27" s="2409"/>
      <c r="E27" s="2410"/>
      <c r="F27" s="2375" t="str">
        <f>VLOOKUP(Z27,ASIGNATURAS!$F$1:$L$1022, 4, FALSE)</f>
        <v xml:space="preserve">Fundamentos Físicos de la Informática </v>
      </c>
      <c r="G27" s="2375"/>
      <c r="H27" s="2375"/>
      <c r="I27" s="2375"/>
      <c r="J27" s="2375"/>
      <c r="K27" s="2375"/>
      <c r="L27" s="2375"/>
      <c r="M27" s="2375"/>
      <c r="N27" s="2375"/>
      <c r="O27" s="2375"/>
      <c r="P27" s="2375"/>
      <c r="Q27" s="2375"/>
      <c r="R27" s="2375"/>
      <c r="S27" s="2375"/>
      <c r="T27" s="2375"/>
      <c r="U27" s="2375"/>
      <c r="V27" s="2375"/>
      <c r="W27" s="2375"/>
      <c r="X27" s="2375"/>
      <c r="Y27" s="2375"/>
      <c r="Z27" s="2401">
        <v>8799</v>
      </c>
      <c r="AA27" s="2401"/>
      <c r="AB27" s="2401"/>
      <c r="AC27" s="2401"/>
      <c r="AD27" s="2401">
        <f>VLOOKUP(Z27,ASIGNATURAS!$F$1:$L$1022, 5, FALSE)</f>
        <v>6</v>
      </c>
      <c r="AE27" s="2401"/>
      <c r="AF27" s="2401"/>
      <c r="AG27" s="2401"/>
      <c r="AH27" s="2375" t="str">
        <f>VLOOKUP(Z27,ASIGNATURAS!$F$1:$L$1022, 6, FALSE)</f>
        <v>Fernando Manuel García, Alfredo Bol</v>
      </c>
      <c r="AI27" s="2375"/>
      <c r="AJ27" s="2375"/>
      <c r="AK27" s="2375"/>
      <c r="AL27" s="2375"/>
      <c r="AM27" s="2375"/>
      <c r="AN27" s="2375"/>
      <c r="AO27" s="2375"/>
      <c r="AP27" s="2375"/>
      <c r="AQ27" s="2375"/>
      <c r="AR27" s="2375"/>
      <c r="AS27" s="2375"/>
      <c r="AT27" s="2375"/>
      <c r="AU27" s="2375"/>
      <c r="AV27" s="2375"/>
      <c r="AW27" s="2375"/>
      <c r="AX27" s="2375"/>
      <c r="AY27" s="2375"/>
      <c r="AZ27" s="2375"/>
      <c r="BA27" s="2375"/>
      <c r="BB27" s="2375"/>
      <c r="BC27" s="2376"/>
    </row>
    <row r="28" spans="1:56" s="106" customFormat="1" ht="21" customHeight="1" x14ac:dyDescent="0.3">
      <c r="A28" s="2408" t="s">
        <v>1133</v>
      </c>
      <c r="B28" s="2409"/>
      <c r="C28" s="2409"/>
      <c r="D28" s="2409"/>
      <c r="E28" s="2410"/>
      <c r="F28" s="2375" t="str">
        <f>VLOOKUP(Z28,ASIGNATURAS!$F$1:$L$1022, 4, FALSE)</f>
        <v xml:space="preserve">Matemática Discreta </v>
      </c>
      <c r="G28" s="2375"/>
      <c r="H28" s="2375"/>
      <c r="I28" s="2375"/>
      <c r="J28" s="2375"/>
      <c r="K28" s="2375"/>
      <c r="L28" s="2375"/>
      <c r="M28" s="2375"/>
      <c r="N28" s="2375"/>
      <c r="O28" s="2375"/>
      <c r="P28" s="2375"/>
      <c r="Q28" s="2375"/>
      <c r="R28" s="2375"/>
      <c r="S28" s="2375"/>
      <c r="T28" s="2375"/>
      <c r="U28" s="2375"/>
      <c r="V28" s="2375"/>
      <c r="W28" s="2375"/>
      <c r="X28" s="2375"/>
      <c r="Y28" s="2375"/>
      <c r="Z28" s="2401">
        <v>8800</v>
      </c>
      <c r="AA28" s="2401"/>
      <c r="AB28" s="2401"/>
      <c r="AC28" s="2401"/>
      <c r="AD28" s="2401">
        <f>VLOOKUP(Z28,ASIGNATURAS!$F$1:$L$1022, 5, FALSE)</f>
        <v>6</v>
      </c>
      <c r="AE28" s="2401"/>
      <c r="AF28" s="2401"/>
      <c r="AG28" s="2401"/>
      <c r="AH28" s="2375" t="str">
        <f>VLOOKUP(Z28,ASIGNATURAS!$F$1:$L$1022, 6, FALSE)</f>
        <v>Mª Pilar de las Heras, Alfredo Gordillo</v>
      </c>
      <c r="AI28" s="2375"/>
      <c r="AJ28" s="2375"/>
      <c r="AK28" s="2375"/>
      <c r="AL28" s="2375"/>
      <c r="AM28" s="2375"/>
      <c r="AN28" s="2375"/>
      <c r="AO28" s="2375"/>
      <c r="AP28" s="2375"/>
      <c r="AQ28" s="2375"/>
      <c r="AR28" s="2375"/>
      <c r="AS28" s="2375"/>
      <c r="AT28" s="2375"/>
      <c r="AU28" s="2375"/>
      <c r="AV28" s="2375"/>
      <c r="AW28" s="2375"/>
      <c r="AX28" s="2375"/>
      <c r="AY28" s="2375"/>
      <c r="AZ28" s="2375"/>
      <c r="BA28" s="2375"/>
      <c r="BB28" s="2375"/>
      <c r="BC28" s="2376"/>
    </row>
    <row r="29" spans="1:56" s="106" customFormat="1" ht="18" customHeight="1" thickBot="1" x14ac:dyDescent="0.35">
      <c r="A29" s="2402" t="s">
        <v>518</v>
      </c>
      <c r="B29" s="2403"/>
      <c r="C29" s="2403"/>
      <c r="D29" s="2403"/>
      <c r="E29" s="2404"/>
      <c r="F29" s="2462" t="str">
        <f>VLOOKUP(Z29,ASIGNATURAS!$F$1:$L$1022, 4, FALSE)</f>
        <v xml:space="preserve">Fund. Deont. y Jurídicos de las TICs </v>
      </c>
      <c r="G29" s="2462"/>
      <c r="H29" s="2462"/>
      <c r="I29" s="2462"/>
      <c r="J29" s="2462"/>
      <c r="K29" s="2462"/>
      <c r="L29" s="2462"/>
      <c r="M29" s="2462"/>
      <c r="N29" s="2462"/>
      <c r="O29" s="2462"/>
      <c r="P29" s="2462"/>
      <c r="Q29" s="2462"/>
      <c r="R29" s="2462"/>
      <c r="S29" s="2462"/>
      <c r="T29" s="2462"/>
      <c r="U29" s="2462"/>
      <c r="V29" s="2462"/>
      <c r="W29" s="2462"/>
      <c r="X29" s="2462"/>
      <c r="Y29" s="2462"/>
      <c r="Z29" s="2464">
        <v>8796</v>
      </c>
      <c r="AA29" s="2464"/>
      <c r="AB29" s="2464"/>
      <c r="AC29" s="2464"/>
      <c r="AD29" s="2464">
        <f>VLOOKUP(Z29,ASIGNATURAS!$F$1:$L$1022, 5, FALSE)</f>
        <v>6</v>
      </c>
      <c r="AE29" s="2464"/>
      <c r="AF29" s="2464"/>
      <c r="AG29" s="2464"/>
      <c r="AH29" s="2462" t="str">
        <f>VLOOKUP(Z29,ASIGNATURAS!$F$1:$L$1022, 6, FALSE)</f>
        <v>Mª del Rosario González, Rosa Sánchez</v>
      </c>
      <c r="AI29" s="2462"/>
      <c r="AJ29" s="2462"/>
      <c r="AK29" s="2462"/>
      <c r="AL29" s="2462"/>
      <c r="AM29" s="2462"/>
      <c r="AN29" s="2462"/>
      <c r="AO29" s="2462"/>
      <c r="AP29" s="2462"/>
      <c r="AQ29" s="2462"/>
      <c r="AR29" s="2462"/>
      <c r="AS29" s="2462"/>
      <c r="AT29" s="2462"/>
      <c r="AU29" s="2462"/>
      <c r="AV29" s="2462"/>
      <c r="AW29" s="2462"/>
      <c r="AX29" s="2462"/>
      <c r="AY29" s="2462"/>
      <c r="AZ29" s="2462"/>
      <c r="BA29" s="2462"/>
      <c r="BB29" s="2462"/>
      <c r="BC29" s="2465"/>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35" t="str">
        <f>VLOOKUP(A37,ASIGNATURAS!$A$2:$D$151, 3, FALSE)</f>
        <v>1º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6"/>
      <c r="AP34" s="1136"/>
      <c r="AQ34" s="1136"/>
      <c r="AR34" s="1136"/>
      <c r="AS34" s="1137"/>
      <c r="AT34" s="1064" t="str">
        <f>AT1</f>
        <v>Curso 2024-2025</v>
      </c>
      <c r="AU34" s="1065"/>
      <c r="AV34" s="1065"/>
      <c r="AW34" s="1065"/>
      <c r="AX34" s="1065"/>
      <c r="AY34" s="1065"/>
      <c r="AZ34" s="1065"/>
      <c r="BA34" s="1065"/>
      <c r="BB34" s="1065"/>
      <c r="BC34" s="1066"/>
    </row>
    <row r="35" spans="1:56"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3"/>
      <c r="AP35" s="1133"/>
      <c r="AQ35" s="1133"/>
      <c r="AR35" s="1133"/>
      <c r="AS35" s="1134"/>
      <c r="AT35" s="2455" t="s">
        <v>1081</v>
      </c>
      <c r="AU35" s="2455"/>
      <c r="AV35" s="2455"/>
      <c r="AW35" s="2455"/>
      <c r="AX35" s="2455"/>
      <c r="AY35" s="2455"/>
      <c r="AZ35" s="2455"/>
      <c r="BA35" s="2455"/>
      <c r="BB35" s="2455"/>
      <c r="BC35" s="2456"/>
    </row>
    <row r="36" spans="1:56"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3"/>
      <c r="AP36" s="1133"/>
      <c r="AQ36" s="1133"/>
      <c r="AR36" s="1133"/>
      <c r="AS36" s="1134"/>
      <c r="AT36" s="2457"/>
      <c r="AU36" s="2457"/>
      <c r="AV36" s="2457"/>
      <c r="AW36" s="2457"/>
      <c r="AX36" s="2457"/>
      <c r="AY36" s="2457"/>
      <c r="AZ36" s="2457"/>
      <c r="BA36" s="2457"/>
      <c r="BB36" s="2457"/>
      <c r="BC36" s="2458"/>
    </row>
    <row r="37" spans="1:56" ht="27.75" customHeight="1" thickBot="1" x14ac:dyDescent="0.3">
      <c r="A37" s="9" t="s">
        <v>67</v>
      </c>
    </row>
    <row r="38" spans="1:56" s="2" customFormat="1" ht="24" customHeight="1" thickBot="1" x14ac:dyDescent="0.3">
      <c r="A38" s="19" t="s">
        <v>1</v>
      </c>
      <c r="B38" s="1064" t="s">
        <v>2</v>
      </c>
      <c r="C38" s="1065"/>
      <c r="D38" s="1065"/>
      <c r="E38" s="1065"/>
      <c r="F38" s="1065"/>
      <c r="G38" s="1065"/>
      <c r="H38" s="1065"/>
      <c r="I38" s="1065"/>
      <c r="J38" s="1065"/>
      <c r="K38" s="1065"/>
      <c r="L38" s="1065"/>
      <c r="M38" s="1066"/>
      <c r="N38" s="975" t="s">
        <v>3</v>
      </c>
      <c r="O38" s="976"/>
      <c r="P38" s="976"/>
      <c r="Q38" s="976"/>
      <c r="R38" s="976"/>
      <c r="S38" s="976"/>
      <c r="T38" s="976"/>
      <c r="U38" s="976"/>
      <c r="V38" s="976"/>
      <c r="W38" s="976"/>
      <c r="X38" s="976"/>
      <c r="Y38" s="977"/>
      <c r="Z38" s="1064" t="s">
        <v>135</v>
      </c>
      <c r="AA38" s="1065"/>
      <c r="AB38" s="1065"/>
      <c r="AC38" s="1065"/>
      <c r="AD38" s="1065"/>
      <c r="AE38" s="1065"/>
      <c r="AF38" s="1065"/>
      <c r="AG38" s="1065"/>
      <c r="AH38" s="1065"/>
      <c r="AI38" s="1066"/>
      <c r="AJ38" s="1064" t="s">
        <v>4</v>
      </c>
      <c r="AK38" s="1065"/>
      <c r="AL38" s="1065"/>
      <c r="AM38" s="1065"/>
      <c r="AN38" s="1065"/>
      <c r="AO38" s="1065"/>
      <c r="AP38" s="1065"/>
      <c r="AQ38" s="1065"/>
      <c r="AR38" s="1065"/>
      <c r="AS38" s="1066"/>
      <c r="AT38" s="1064" t="s">
        <v>5</v>
      </c>
      <c r="AU38" s="1065"/>
      <c r="AV38" s="1065"/>
      <c r="AW38" s="1065"/>
      <c r="AX38" s="1065"/>
      <c r="AY38" s="1065"/>
      <c r="AZ38" s="1065"/>
      <c r="BA38" s="1065"/>
      <c r="BB38" s="1065"/>
      <c r="BC38" s="1066"/>
    </row>
    <row r="39" spans="1:56" ht="36.75" customHeight="1" x14ac:dyDescent="0.25">
      <c r="A39" s="1160" t="s">
        <v>10</v>
      </c>
      <c r="B39" s="2382" t="s">
        <v>46</v>
      </c>
      <c r="C39" s="2383"/>
      <c r="D39" s="2383"/>
      <c r="E39" s="2383"/>
      <c r="F39" s="2383"/>
      <c r="G39" s="2383"/>
      <c r="H39" s="2383"/>
      <c r="I39" s="2383"/>
      <c r="J39" s="2399" t="s">
        <v>147</v>
      </c>
      <c r="K39" s="2399"/>
      <c r="L39" s="2400"/>
      <c r="M39" s="107">
        <v>1</v>
      </c>
      <c r="N39" s="2382" t="s">
        <v>98</v>
      </c>
      <c r="O39" s="2383"/>
      <c r="P39" s="2383"/>
      <c r="Q39" s="2383"/>
      <c r="R39" s="2383"/>
      <c r="S39" s="2383"/>
      <c r="T39" s="2383"/>
      <c r="U39" s="2383"/>
      <c r="V39" s="2399" t="s">
        <v>147</v>
      </c>
      <c r="W39" s="2399"/>
      <c r="X39" s="2400"/>
      <c r="Y39" s="107">
        <v>1</v>
      </c>
      <c r="Z39" s="2382" t="s">
        <v>46</v>
      </c>
      <c r="AA39" s="2383"/>
      <c r="AB39" s="2383"/>
      <c r="AC39" s="2383"/>
      <c r="AD39" s="2383"/>
      <c r="AE39" s="2383"/>
      <c r="AF39" s="2399" t="s">
        <v>147</v>
      </c>
      <c r="AG39" s="2399"/>
      <c r="AH39" s="2400"/>
      <c r="AI39" s="107">
        <v>1</v>
      </c>
      <c r="AJ39" s="2382" t="s">
        <v>515</v>
      </c>
      <c r="AK39" s="2383"/>
      <c r="AL39" s="2383"/>
      <c r="AM39" s="2383"/>
      <c r="AN39" s="2383"/>
      <c r="AO39" s="2383"/>
      <c r="AP39" s="2399" t="s">
        <v>149</v>
      </c>
      <c r="AQ39" s="2399"/>
      <c r="AR39" s="2400"/>
      <c r="AS39" s="107">
        <v>1</v>
      </c>
      <c r="AT39" s="2382" t="s">
        <v>12</v>
      </c>
      <c r="AU39" s="2383"/>
      <c r="AV39" s="2383"/>
      <c r="AW39" s="2383"/>
      <c r="AX39" s="2383"/>
      <c r="AY39" s="2383"/>
      <c r="AZ39" s="2399" t="s">
        <v>149</v>
      </c>
      <c r="BA39" s="2399"/>
      <c r="BB39" s="2400"/>
      <c r="BC39" s="107">
        <v>1</v>
      </c>
    </row>
    <row r="40" spans="1:56" ht="36.75" customHeight="1" thickBot="1" x14ac:dyDescent="0.3">
      <c r="A40" s="1161"/>
      <c r="B40" s="2388" t="s">
        <v>46</v>
      </c>
      <c r="C40" s="2389"/>
      <c r="D40" s="2389"/>
      <c r="E40" s="2389"/>
      <c r="F40" s="2389"/>
      <c r="G40" s="2389"/>
      <c r="H40" s="2389"/>
      <c r="I40" s="2389"/>
      <c r="J40" s="2386" t="s">
        <v>147</v>
      </c>
      <c r="K40" s="2386"/>
      <c r="L40" s="2387"/>
      <c r="M40" s="890">
        <v>2</v>
      </c>
      <c r="N40" s="2416" t="s">
        <v>98</v>
      </c>
      <c r="O40" s="2417"/>
      <c r="P40" s="2417"/>
      <c r="Q40" s="2417"/>
      <c r="R40" s="2417"/>
      <c r="S40" s="2417"/>
      <c r="T40" s="2417"/>
      <c r="U40" s="2417"/>
      <c r="V40" s="2386" t="s">
        <v>147</v>
      </c>
      <c r="W40" s="2386"/>
      <c r="X40" s="2387"/>
      <c r="Y40" s="890">
        <v>2</v>
      </c>
      <c r="Z40" s="2388" t="s">
        <v>46</v>
      </c>
      <c r="AA40" s="2389"/>
      <c r="AB40" s="2389"/>
      <c r="AC40" s="2389"/>
      <c r="AD40" s="2389"/>
      <c r="AE40" s="2389"/>
      <c r="AF40" s="2386" t="s">
        <v>147</v>
      </c>
      <c r="AG40" s="2386"/>
      <c r="AH40" s="2387"/>
      <c r="AI40" s="890">
        <v>2</v>
      </c>
      <c r="AJ40" s="2388" t="s">
        <v>12</v>
      </c>
      <c r="AK40" s="2389"/>
      <c r="AL40" s="2389"/>
      <c r="AM40" s="2389"/>
      <c r="AN40" s="2389"/>
      <c r="AO40" s="2389"/>
      <c r="AP40" s="2386" t="s">
        <v>147</v>
      </c>
      <c r="AQ40" s="2386"/>
      <c r="AR40" s="2387"/>
      <c r="AS40" s="890">
        <v>2</v>
      </c>
      <c r="AT40" s="2388" t="s">
        <v>585</v>
      </c>
      <c r="AU40" s="2389"/>
      <c r="AV40" s="2389"/>
      <c r="AW40" s="2389"/>
      <c r="AX40" s="2389"/>
      <c r="AY40" s="2389"/>
      <c r="AZ40" s="2386" t="s">
        <v>147</v>
      </c>
      <c r="BA40" s="2386"/>
      <c r="BB40" s="2387"/>
      <c r="BC40" s="890">
        <v>2</v>
      </c>
    </row>
    <row r="41" spans="1:56" ht="36.75" customHeight="1" x14ac:dyDescent="0.25">
      <c r="A41" s="1161" t="s">
        <v>11</v>
      </c>
      <c r="B41" s="2382" t="s">
        <v>585</v>
      </c>
      <c r="C41" s="2383"/>
      <c r="D41" s="2383"/>
      <c r="E41" s="2383"/>
      <c r="F41" s="2383"/>
      <c r="G41" s="2383"/>
      <c r="H41" s="2383"/>
      <c r="I41" s="2383"/>
      <c r="J41" s="2399" t="s">
        <v>149</v>
      </c>
      <c r="K41" s="2399"/>
      <c r="L41" s="2400"/>
      <c r="M41" s="107">
        <v>1</v>
      </c>
      <c r="N41" s="2382" t="s">
        <v>12</v>
      </c>
      <c r="O41" s="2383"/>
      <c r="P41" s="2383"/>
      <c r="Q41" s="2383"/>
      <c r="R41" s="2383"/>
      <c r="S41" s="2383"/>
      <c r="T41" s="2383"/>
      <c r="U41" s="2383"/>
      <c r="V41" s="2399" t="s">
        <v>149</v>
      </c>
      <c r="W41" s="2399"/>
      <c r="X41" s="2400"/>
      <c r="Y41" s="107">
        <v>1</v>
      </c>
      <c r="Z41" s="2382" t="s">
        <v>585</v>
      </c>
      <c r="AA41" s="2383"/>
      <c r="AB41" s="2383"/>
      <c r="AC41" s="2383"/>
      <c r="AD41" s="2383"/>
      <c r="AE41" s="2383"/>
      <c r="AF41" s="2399" t="s">
        <v>149</v>
      </c>
      <c r="AG41" s="2399"/>
      <c r="AH41" s="2400"/>
      <c r="AI41" s="107">
        <v>1</v>
      </c>
      <c r="AJ41" s="2382" t="s">
        <v>98</v>
      </c>
      <c r="AK41" s="2383"/>
      <c r="AL41" s="2383"/>
      <c r="AM41" s="2383"/>
      <c r="AN41" s="2383"/>
      <c r="AO41" s="2383"/>
      <c r="AP41" s="2399" t="s">
        <v>147</v>
      </c>
      <c r="AQ41" s="2399"/>
      <c r="AR41" s="2400"/>
      <c r="AS41" s="107">
        <v>1</v>
      </c>
      <c r="AT41" s="2382" t="s">
        <v>515</v>
      </c>
      <c r="AU41" s="2383"/>
      <c r="AV41" s="2383"/>
      <c r="AW41" s="2383"/>
      <c r="AX41" s="2383"/>
      <c r="AY41" s="2383"/>
      <c r="AZ41" s="2399" t="s">
        <v>149</v>
      </c>
      <c r="BA41" s="2399"/>
      <c r="BB41" s="2400"/>
      <c r="BC41" s="107">
        <v>1</v>
      </c>
    </row>
    <row r="42" spans="1:56" ht="36.75" customHeight="1" thickBot="1" x14ac:dyDescent="0.3">
      <c r="A42" s="1161"/>
      <c r="B42" s="2388" t="s">
        <v>515</v>
      </c>
      <c r="C42" s="2389"/>
      <c r="D42" s="2389"/>
      <c r="E42" s="2389"/>
      <c r="F42" s="2389"/>
      <c r="G42" s="2389"/>
      <c r="H42" s="2389"/>
      <c r="I42" s="2389"/>
      <c r="J42" s="2386" t="s">
        <v>147</v>
      </c>
      <c r="K42" s="2386"/>
      <c r="L42" s="2387"/>
      <c r="M42" s="890">
        <v>2</v>
      </c>
      <c r="N42" s="2388" t="s">
        <v>585</v>
      </c>
      <c r="O42" s="2389"/>
      <c r="P42" s="2389"/>
      <c r="Q42" s="2389"/>
      <c r="R42" s="2389"/>
      <c r="S42" s="2389"/>
      <c r="T42" s="2389"/>
      <c r="U42" s="2389"/>
      <c r="V42" s="2386" t="s">
        <v>147</v>
      </c>
      <c r="W42" s="2386"/>
      <c r="X42" s="2387"/>
      <c r="Y42" s="890">
        <v>2</v>
      </c>
      <c r="Z42" s="2388" t="s">
        <v>515</v>
      </c>
      <c r="AA42" s="2389"/>
      <c r="AB42" s="2389"/>
      <c r="AC42" s="2389"/>
      <c r="AD42" s="2389"/>
      <c r="AE42" s="2389"/>
      <c r="AF42" s="2386" t="s">
        <v>147</v>
      </c>
      <c r="AG42" s="2386"/>
      <c r="AH42" s="2387"/>
      <c r="AI42" s="890">
        <v>2</v>
      </c>
      <c r="AJ42" s="2388" t="s">
        <v>98</v>
      </c>
      <c r="AK42" s="2389"/>
      <c r="AL42" s="2389"/>
      <c r="AM42" s="2389"/>
      <c r="AN42" s="2389"/>
      <c r="AO42" s="2389"/>
      <c r="AP42" s="2386" t="s">
        <v>147</v>
      </c>
      <c r="AQ42" s="2386"/>
      <c r="AR42" s="2387"/>
      <c r="AS42" s="890">
        <v>2</v>
      </c>
      <c r="AT42" s="2388" t="s">
        <v>12</v>
      </c>
      <c r="AU42" s="2389"/>
      <c r="AV42" s="2389"/>
      <c r="AW42" s="2389"/>
      <c r="AX42" s="2389"/>
      <c r="AY42" s="2389"/>
      <c r="AZ42" s="2386" t="s">
        <v>147</v>
      </c>
      <c r="BA42" s="2386"/>
      <c r="BB42" s="2387"/>
      <c r="BC42" s="890">
        <v>2</v>
      </c>
    </row>
    <row r="43" spans="1:56" s="93" customFormat="1" ht="45.75" customHeight="1" x14ac:dyDescent="0.25">
      <c r="A43" s="1161" t="s">
        <v>6</v>
      </c>
      <c r="B43" s="547" t="s">
        <v>569</v>
      </c>
      <c r="C43" s="2463" t="s">
        <v>145</v>
      </c>
      <c r="D43" s="383" t="s">
        <v>570</v>
      </c>
      <c r="E43" s="2373" t="s">
        <v>150</v>
      </c>
      <c r="F43" s="383" t="s">
        <v>571</v>
      </c>
      <c r="G43" s="2372" t="s">
        <v>734</v>
      </c>
      <c r="H43" s="261"/>
      <c r="I43" s="2390"/>
      <c r="J43" s="828" t="s">
        <v>652</v>
      </c>
      <c r="K43" s="2361" t="s">
        <v>733</v>
      </c>
      <c r="L43" s="213" t="s">
        <v>574</v>
      </c>
      <c r="M43" s="2435" t="s">
        <v>157</v>
      </c>
      <c r="N43" s="94" t="s">
        <v>569</v>
      </c>
      <c r="O43" s="2372" t="s">
        <v>733</v>
      </c>
      <c r="P43" s="191"/>
      <c r="Q43" s="2359"/>
      <c r="R43" s="595"/>
      <c r="S43" s="2472"/>
      <c r="T43" s="128" t="s">
        <v>573</v>
      </c>
      <c r="U43" s="2377" t="s">
        <v>157</v>
      </c>
      <c r="V43" s="128" t="s">
        <v>574</v>
      </c>
      <c r="W43" s="2377" t="s">
        <v>670</v>
      </c>
      <c r="X43" s="712"/>
      <c r="Y43" s="2397"/>
      <c r="Z43" s="888" t="s">
        <v>569</v>
      </c>
      <c r="AA43" s="2372" t="s">
        <v>157</v>
      </c>
      <c r="AD43" s="213" t="s">
        <v>573</v>
      </c>
      <c r="AE43" s="2378" t="s">
        <v>670</v>
      </c>
      <c r="AF43" s="714"/>
      <c r="AG43" s="2390"/>
      <c r="AH43" s="128" t="s">
        <v>574</v>
      </c>
      <c r="AI43" s="2377" t="s">
        <v>733</v>
      </c>
      <c r="AJ43" s="82"/>
      <c r="AK43" s="2390"/>
      <c r="AL43" s="888" t="s">
        <v>570</v>
      </c>
      <c r="AM43" s="2372" t="s">
        <v>670</v>
      </c>
      <c r="AN43" s="383" t="s">
        <v>571</v>
      </c>
      <c r="AO43" s="2427" t="s">
        <v>733</v>
      </c>
      <c r="AP43" s="128" t="s">
        <v>573</v>
      </c>
      <c r="AQ43" s="2377" t="s">
        <v>144</v>
      </c>
      <c r="AR43" s="710"/>
      <c r="AS43" s="2379"/>
      <c r="AT43" s="380"/>
      <c r="AU43" s="2359"/>
      <c r="AV43" s="888" t="s">
        <v>570</v>
      </c>
      <c r="AW43" s="2372" t="s">
        <v>733</v>
      </c>
      <c r="AX43" s="78"/>
      <c r="AY43" s="2390"/>
      <c r="BB43" s="128" t="s">
        <v>574</v>
      </c>
      <c r="BC43" s="2435" t="s">
        <v>734</v>
      </c>
      <c r="BD43" s="260"/>
    </row>
    <row r="44" spans="1:56" s="93" customFormat="1" ht="33" customHeight="1" x14ac:dyDescent="0.25">
      <c r="A44" s="1161"/>
      <c r="B44" s="1192" t="s">
        <v>12</v>
      </c>
      <c r="C44" s="2463"/>
      <c r="D44" s="1190" t="s">
        <v>46</v>
      </c>
      <c r="E44" s="2373"/>
      <c r="F44" s="1190" t="s">
        <v>515</v>
      </c>
      <c r="G44" s="2373"/>
      <c r="H44" s="1263"/>
      <c r="I44" s="2356"/>
      <c r="J44" s="2347" t="s">
        <v>585</v>
      </c>
      <c r="K44" s="2362"/>
      <c r="L44" s="2384" t="s">
        <v>46</v>
      </c>
      <c r="M44" s="2422"/>
      <c r="N44" s="1192" t="s">
        <v>585</v>
      </c>
      <c r="O44" s="2373"/>
      <c r="P44" s="1713"/>
      <c r="Q44" s="2356"/>
      <c r="R44" s="1943"/>
      <c r="S44" s="2473"/>
      <c r="T44" s="2391" t="s">
        <v>46</v>
      </c>
      <c r="U44" s="2378"/>
      <c r="V44" s="2384" t="s">
        <v>98</v>
      </c>
      <c r="W44" s="2378"/>
      <c r="X44" s="2466"/>
      <c r="Y44" s="2398"/>
      <c r="Z44" s="1309" t="s">
        <v>46</v>
      </c>
      <c r="AA44" s="2373"/>
      <c r="AD44" s="2384" t="s">
        <v>98</v>
      </c>
      <c r="AE44" s="2378"/>
      <c r="AF44" s="1232"/>
      <c r="AG44" s="2356"/>
      <c r="AH44" s="2384" t="s">
        <v>585</v>
      </c>
      <c r="AI44" s="2378"/>
      <c r="AJ44" s="1209"/>
      <c r="AK44" s="2356"/>
      <c r="AL44" s="1190" t="s">
        <v>98</v>
      </c>
      <c r="AM44" s="2373"/>
      <c r="AN44" s="1190" t="s">
        <v>585</v>
      </c>
      <c r="AO44" s="2373"/>
      <c r="AP44" s="2384" t="s">
        <v>12</v>
      </c>
      <c r="AQ44" s="2378"/>
      <c r="AR44" s="1232"/>
      <c r="AS44" s="2380"/>
      <c r="AT44" s="1209"/>
      <c r="AU44" s="2356"/>
      <c r="AV44" s="1309" t="s">
        <v>585</v>
      </c>
      <c r="AW44" s="2373"/>
      <c r="AX44" s="1263"/>
      <c r="AY44" s="2356"/>
      <c r="BB44" s="2384" t="s">
        <v>515</v>
      </c>
      <c r="BC44" s="2422"/>
      <c r="BD44" s="260"/>
    </row>
    <row r="45" spans="1:56" s="93" customFormat="1" ht="33" customHeight="1" x14ac:dyDescent="0.25">
      <c r="A45" s="1161" t="s">
        <v>7</v>
      </c>
      <c r="B45" s="1192"/>
      <c r="C45" s="2463"/>
      <c r="D45" s="1190"/>
      <c r="E45" s="2373"/>
      <c r="F45" s="1190"/>
      <c r="G45" s="2373"/>
      <c r="H45" s="1263"/>
      <c r="I45" s="2356"/>
      <c r="J45" s="2347"/>
      <c r="K45" s="2362"/>
      <c r="L45" s="2384"/>
      <c r="M45" s="2422"/>
      <c r="N45" s="1192"/>
      <c r="O45" s="2373"/>
      <c r="P45" s="1713"/>
      <c r="Q45" s="2356"/>
      <c r="R45" s="1943"/>
      <c r="S45" s="2473"/>
      <c r="T45" s="2391"/>
      <c r="U45" s="2378"/>
      <c r="V45" s="2384"/>
      <c r="W45" s="2378"/>
      <c r="X45" s="2466"/>
      <c r="Y45" s="2398"/>
      <c r="Z45" s="1309"/>
      <c r="AA45" s="2373"/>
      <c r="AD45" s="2384"/>
      <c r="AE45" s="2378"/>
      <c r="AF45" s="1232"/>
      <c r="AG45" s="2356"/>
      <c r="AH45" s="2384"/>
      <c r="AI45" s="2378"/>
      <c r="AJ45" s="1209"/>
      <c r="AK45" s="2356"/>
      <c r="AL45" s="1190"/>
      <c r="AM45" s="2373"/>
      <c r="AN45" s="1190"/>
      <c r="AO45" s="2373"/>
      <c r="AP45" s="2384"/>
      <c r="AQ45" s="2378"/>
      <c r="AR45" s="1232"/>
      <c r="AS45" s="2380"/>
      <c r="AT45" s="1209"/>
      <c r="AU45" s="2356"/>
      <c r="AV45" s="1309"/>
      <c r="AW45" s="2373"/>
      <c r="AX45" s="1263"/>
      <c r="AY45" s="2356"/>
      <c r="BB45" s="2384"/>
      <c r="BC45" s="2422"/>
      <c r="BD45" s="260"/>
    </row>
    <row r="46" spans="1:56" s="93" customFormat="1" ht="33" customHeight="1" x14ac:dyDescent="0.25">
      <c r="A46" s="1161"/>
      <c r="B46" s="1192"/>
      <c r="C46" s="2463"/>
      <c r="D46" s="1190"/>
      <c r="E46" s="2373"/>
      <c r="F46" s="1226"/>
      <c r="G46" s="2374"/>
      <c r="H46" s="1264"/>
      <c r="I46" s="2356"/>
      <c r="J46" s="2415"/>
      <c r="K46" s="2471"/>
      <c r="L46" s="2385"/>
      <c r="M46" s="2433"/>
      <c r="N46" s="1193"/>
      <c r="O46" s="2374"/>
      <c r="P46" s="1714"/>
      <c r="Q46" s="2356"/>
      <c r="R46" s="1944"/>
      <c r="S46" s="2474"/>
      <c r="T46" s="2392"/>
      <c r="U46" s="2393"/>
      <c r="V46" s="2385"/>
      <c r="W46" s="2378"/>
      <c r="X46" s="2466"/>
      <c r="Y46" s="2398"/>
      <c r="Z46" s="1310"/>
      <c r="AA46" s="2374"/>
      <c r="AD46" s="2385"/>
      <c r="AE46" s="2378"/>
      <c r="AF46" s="1232"/>
      <c r="AG46" s="2358"/>
      <c r="AH46" s="2384"/>
      <c r="AI46" s="2393"/>
      <c r="AJ46" s="1209"/>
      <c r="AK46" s="2356"/>
      <c r="AL46" s="1226"/>
      <c r="AM46" s="2374"/>
      <c r="AN46" s="1190"/>
      <c r="AO46" s="2373"/>
      <c r="AP46" s="2384"/>
      <c r="AQ46" s="2378"/>
      <c r="AR46" s="1232"/>
      <c r="AS46" s="2381"/>
      <c r="AT46" s="1209"/>
      <c r="AU46" s="2356"/>
      <c r="AV46" s="1310"/>
      <c r="AW46" s="2374"/>
      <c r="AX46" s="1264"/>
      <c r="AY46" s="2356"/>
      <c r="BB46" s="2385"/>
      <c r="BC46" s="2433"/>
      <c r="BD46" s="260"/>
    </row>
    <row r="47" spans="1:56" s="93" customFormat="1" ht="45.75" customHeight="1" x14ac:dyDescent="0.25">
      <c r="A47" s="1161" t="s">
        <v>8</v>
      </c>
      <c r="B47" s="160" t="s">
        <v>569</v>
      </c>
      <c r="C47" s="2427" t="s">
        <v>734</v>
      </c>
      <c r="D47" s="161" t="s">
        <v>570</v>
      </c>
      <c r="E47" s="2427" t="s">
        <v>145</v>
      </c>
      <c r="F47" s="261"/>
      <c r="G47" s="2359"/>
      <c r="H47" s="261"/>
      <c r="I47" s="2359"/>
      <c r="J47" s="261"/>
      <c r="K47" s="2359"/>
      <c r="L47" s="213" t="s">
        <v>574</v>
      </c>
      <c r="M47" s="2421" t="s">
        <v>145</v>
      </c>
      <c r="N47" s="125"/>
      <c r="O47" s="2359"/>
      <c r="P47" s="261"/>
      <c r="Q47" s="2359"/>
      <c r="R47" s="191"/>
      <c r="S47" s="2359"/>
      <c r="T47" s="264" t="s">
        <v>573</v>
      </c>
      <c r="U47" s="2460" t="s">
        <v>734</v>
      </c>
      <c r="V47" s="135"/>
      <c r="W47" s="2359"/>
      <c r="X47" s="259"/>
      <c r="Y47" s="2424"/>
      <c r="Z47" s="160" t="s">
        <v>569</v>
      </c>
      <c r="AA47" s="2427" t="s">
        <v>670</v>
      </c>
      <c r="AB47" s="191"/>
      <c r="AC47" s="2359"/>
      <c r="AD47" s="261"/>
      <c r="AE47" s="2359"/>
      <c r="AF47" s="714"/>
      <c r="AG47" s="2356"/>
      <c r="AH47" s="713"/>
      <c r="AJ47" s="715"/>
      <c r="AK47" s="2467"/>
      <c r="AL47" s="378" t="s">
        <v>570</v>
      </c>
      <c r="AM47" s="2373" t="s">
        <v>734</v>
      </c>
      <c r="AN47" s="161" t="s">
        <v>571</v>
      </c>
      <c r="AO47" s="2427" t="s">
        <v>144</v>
      </c>
      <c r="AP47" s="854" t="s">
        <v>573</v>
      </c>
      <c r="AQ47" s="2414" t="s">
        <v>733</v>
      </c>
      <c r="AR47" s="344"/>
      <c r="AS47" s="262"/>
      <c r="AT47" s="224"/>
      <c r="AU47" s="2360"/>
      <c r="AV47" s="261"/>
      <c r="AW47" s="2359"/>
      <c r="AX47" s="203"/>
      <c r="AY47" s="297"/>
      <c r="AZ47" s="259"/>
      <c r="BA47" s="2360"/>
      <c r="BB47" s="512"/>
      <c r="BC47" s="2476"/>
      <c r="BD47" s="260"/>
    </row>
    <row r="48" spans="1:56" s="93" customFormat="1" ht="33" customHeight="1" x14ac:dyDescent="0.25">
      <c r="A48" s="1161"/>
      <c r="B48" s="1192" t="s">
        <v>515</v>
      </c>
      <c r="C48" s="2373"/>
      <c r="D48" s="1289" t="s">
        <v>12</v>
      </c>
      <c r="E48" s="2373"/>
      <c r="F48" s="1263"/>
      <c r="G48" s="2356"/>
      <c r="H48" s="1263"/>
      <c r="I48" s="2356"/>
      <c r="J48" s="1263"/>
      <c r="K48" s="2356"/>
      <c r="L48" s="2384" t="s">
        <v>12</v>
      </c>
      <c r="M48" s="2422"/>
      <c r="N48" s="1360"/>
      <c r="O48" s="2356"/>
      <c r="P48" s="1263"/>
      <c r="Q48" s="2356"/>
      <c r="R48" s="1263"/>
      <c r="S48" s="2356"/>
      <c r="T48" s="2384" t="s">
        <v>515</v>
      </c>
      <c r="U48" s="2378"/>
      <c r="V48" s="1263"/>
      <c r="W48" s="2356"/>
      <c r="X48" s="2342"/>
      <c r="Y48" s="2425"/>
      <c r="Z48" s="1192" t="s">
        <v>98</v>
      </c>
      <c r="AA48" s="2373"/>
      <c r="AB48" s="1263"/>
      <c r="AC48" s="2356"/>
      <c r="AD48" s="1263"/>
      <c r="AE48" s="2356"/>
      <c r="AF48" s="1232"/>
      <c r="AG48" s="2356"/>
      <c r="AJ48" s="2469"/>
      <c r="AK48" s="2468"/>
      <c r="AL48" s="1309" t="s">
        <v>515</v>
      </c>
      <c r="AM48" s="2373"/>
      <c r="AN48" s="1190" t="s">
        <v>12</v>
      </c>
      <c r="AO48" s="2373"/>
      <c r="AP48" s="2347" t="s">
        <v>585</v>
      </c>
      <c r="AQ48" s="2362"/>
      <c r="AR48" s="214"/>
      <c r="AS48" s="262"/>
      <c r="AT48" s="1368"/>
      <c r="AU48" s="2332"/>
      <c r="AV48" s="1263"/>
      <c r="AW48" s="2356"/>
      <c r="AX48" s="203"/>
      <c r="AY48" s="203"/>
      <c r="AZ48" s="2483"/>
      <c r="BA48" s="2332"/>
      <c r="BB48" s="1341"/>
      <c r="BC48" s="2476"/>
    </row>
    <row r="49" spans="1:56" s="93" customFormat="1" ht="33" customHeight="1" x14ac:dyDescent="0.25">
      <c r="A49" s="1161" t="s">
        <v>9</v>
      </c>
      <c r="B49" s="1192"/>
      <c r="C49" s="2373"/>
      <c r="D49" s="1289"/>
      <c r="E49" s="2373"/>
      <c r="F49" s="1263"/>
      <c r="G49" s="2356"/>
      <c r="H49" s="1263"/>
      <c r="I49" s="2356"/>
      <c r="J49" s="1263"/>
      <c r="K49" s="2356"/>
      <c r="L49" s="2384"/>
      <c r="M49" s="2422"/>
      <c r="N49" s="1360"/>
      <c r="O49" s="2356"/>
      <c r="P49" s="1263"/>
      <c r="Q49" s="2356"/>
      <c r="R49" s="1263"/>
      <c r="S49" s="2356"/>
      <c r="T49" s="2384"/>
      <c r="U49" s="2378"/>
      <c r="V49" s="1263"/>
      <c r="W49" s="2356"/>
      <c r="X49" s="2342"/>
      <c r="Y49" s="2425"/>
      <c r="Z49" s="1192"/>
      <c r="AA49" s="2373"/>
      <c r="AB49" s="1263"/>
      <c r="AC49" s="2356"/>
      <c r="AD49" s="1263"/>
      <c r="AE49" s="2356"/>
      <c r="AF49" s="1232"/>
      <c r="AG49" s="2356"/>
      <c r="AJ49" s="2469"/>
      <c r="AK49" s="2468"/>
      <c r="AL49" s="1309"/>
      <c r="AM49" s="2373"/>
      <c r="AN49" s="1190"/>
      <c r="AO49" s="2373"/>
      <c r="AP49" s="2347"/>
      <c r="AQ49" s="2362"/>
      <c r="AR49" s="214"/>
      <c r="AS49" s="262"/>
      <c r="AT49" s="1368"/>
      <c r="AU49" s="2332"/>
      <c r="AV49" s="1263"/>
      <c r="AW49" s="2356"/>
      <c r="AX49" s="203"/>
      <c r="AY49" s="203"/>
      <c r="AZ49" s="2483"/>
      <c r="BA49" s="2332"/>
      <c r="BB49" s="1341"/>
      <c r="BC49" s="2476"/>
      <c r="BD49" s="260"/>
    </row>
    <row r="50" spans="1:56" s="93" customFormat="1" ht="33" customHeight="1" thickBot="1" x14ac:dyDescent="0.3">
      <c r="A50" s="1238"/>
      <c r="B50" s="1206"/>
      <c r="C50" s="2428"/>
      <c r="D50" s="1289"/>
      <c r="E50" s="2373"/>
      <c r="F50" s="1685"/>
      <c r="G50" s="2357"/>
      <c r="H50" s="1685"/>
      <c r="I50" s="2357"/>
      <c r="J50" s="1685"/>
      <c r="K50" s="2357"/>
      <c r="L50" s="2384"/>
      <c r="M50" s="2423"/>
      <c r="N50" s="1371"/>
      <c r="O50" s="2357"/>
      <c r="P50" s="1685"/>
      <c r="Q50" s="2357"/>
      <c r="R50" s="1685"/>
      <c r="S50" s="2357"/>
      <c r="T50" s="2384"/>
      <c r="U50" s="2461"/>
      <c r="V50" s="1685"/>
      <c r="W50" s="2357"/>
      <c r="X50" s="2342"/>
      <c r="Y50" s="2426"/>
      <c r="Z50" s="1206"/>
      <c r="AA50" s="2428"/>
      <c r="AB50" s="1685"/>
      <c r="AC50" s="2357"/>
      <c r="AD50" s="1685"/>
      <c r="AE50" s="2357"/>
      <c r="AF50" s="1232"/>
      <c r="AG50" s="2357"/>
      <c r="AH50" s="697"/>
      <c r="AI50" s="697"/>
      <c r="AJ50" s="2470"/>
      <c r="AK50" s="2468"/>
      <c r="AL50" s="2485"/>
      <c r="AM50" s="2373"/>
      <c r="AN50" s="1191"/>
      <c r="AO50" s="2428"/>
      <c r="AP50" s="2415"/>
      <c r="AQ50" s="2363"/>
      <c r="AR50" s="215"/>
      <c r="AS50" s="263"/>
      <c r="AT50" s="1369"/>
      <c r="AU50" s="2333"/>
      <c r="AV50" s="1685"/>
      <c r="AW50" s="2357"/>
      <c r="AX50" s="204"/>
      <c r="AY50" s="204"/>
      <c r="AZ50" s="2484"/>
      <c r="BA50" s="2333"/>
      <c r="BB50" s="1342"/>
      <c r="BC50" s="2477"/>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05" t="s">
        <v>214</v>
      </c>
      <c r="B52" s="2406"/>
      <c r="C52" s="2406"/>
      <c r="D52" s="2406"/>
      <c r="E52" s="2407"/>
      <c r="F52" s="2446" t="s">
        <v>215</v>
      </c>
      <c r="G52" s="2447"/>
      <c r="H52" s="2447"/>
      <c r="I52" s="2447"/>
      <c r="J52" s="2447"/>
      <c r="K52" s="2447"/>
      <c r="L52" s="2447"/>
      <c r="M52" s="2447"/>
      <c r="N52" s="2447"/>
      <c r="O52" s="2447"/>
      <c r="P52" s="2447"/>
      <c r="Q52" s="2447"/>
      <c r="R52" s="2447"/>
      <c r="S52" s="2447"/>
      <c r="T52" s="2447"/>
      <c r="U52" s="2447"/>
      <c r="V52" s="2447"/>
      <c r="W52" s="2447"/>
      <c r="X52" s="2447"/>
      <c r="Y52" s="2448"/>
      <c r="Z52" s="2446" t="s">
        <v>317</v>
      </c>
      <c r="AA52" s="2447"/>
      <c r="AB52" s="2447"/>
      <c r="AC52" s="2448"/>
      <c r="AD52" s="2446" t="s">
        <v>139</v>
      </c>
      <c r="AE52" s="2447"/>
      <c r="AF52" s="2447"/>
      <c r="AG52" s="2448"/>
      <c r="AH52" s="2481" t="s">
        <v>163</v>
      </c>
      <c r="AI52" s="2481"/>
      <c r="AJ52" s="2481"/>
      <c r="AK52" s="2481"/>
      <c r="AL52" s="2481"/>
      <c r="AM52" s="2481"/>
      <c r="AN52" s="2481"/>
      <c r="AO52" s="2481"/>
      <c r="AP52" s="2481"/>
      <c r="AQ52" s="2481"/>
      <c r="AR52" s="2481"/>
      <c r="AS52" s="2481"/>
      <c r="AT52" s="2481"/>
      <c r="AU52" s="2481"/>
      <c r="AV52" s="2481"/>
      <c r="AW52" s="2481"/>
      <c r="AX52" s="2481"/>
      <c r="AY52" s="2481"/>
      <c r="AZ52" s="2481"/>
      <c r="BA52" s="2481"/>
      <c r="BB52" s="2481"/>
      <c r="BC52" s="2482"/>
    </row>
    <row r="53" spans="1:56" ht="19.5" customHeight="1" x14ac:dyDescent="0.25">
      <c r="A53" s="2408" t="str">
        <f>VLOOKUP(Z53,ASIGNATURAS!$F$1:$L$1022, 3, FALSE)</f>
        <v>INGLES</v>
      </c>
      <c r="B53" s="2409"/>
      <c r="C53" s="2409"/>
      <c r="D53" s="2409"/>
      <c r="E53" s="2410"/>
      <c r="F53" s="2394" t="str">
        <f>VLOOKUP(Z53,ASIGNATURAS!$F$1:$L$1022, 4, FALSE)</f>
        <v xml:space="preserve">Inglés Aplicado a la Informática </v>
      </c>
      <c r="G53" s="2395"/>
      <c r="H53" s="2395"/>
      <c r="I53" s="2395"/>
      <c r="J53" s="2395"/>
      <c r="K53" s="2395"/>
      <c r="L53" s="2395"/>
      <c r="M53" s="2395"/>
      <c r="N53" s="2395"/>
      <c r="O53" s="2395"/>
      <c r="P53" s="2395"/>
      <c r="Q53" s="2395"/>
      <c r="R53" s="2395"/>
      <c r="S53" s="2395"/>
      <c r="T53" s="2395"/>
      <c r="U53" s="2395"/>
      <c r="V53" s="2395"/>
      <c r="W53" s="2395"/>
      <c r="X53" s="2395"/>
      <c r="Y53" s="2396"/>
      <c r="Z53" s="2418">
        <v>8801</v>
      </c>
      <c r="AA53" s="2419"/>
      <c r="AB53" s="2419"/>
      <c r="AC53" s="2420"/>
      <c r="AD53" s="2418">
        <f>VLOOKUP(Z53,ASIGNATURAS!$F$1:$L$1022, 5, FALSE)</f>
        <v>6</v>
      </c>
      <c r="AE53" s="2419"/>
      <c r="AF53" s="2419"/>
      <c r="AG53" s="2420"/>
      <c r="AH53" s="2394" t="str">
        <f>VLOOKUP(Z53,ASIGNATURAS!$F$1:$L$1022, 6, FALSE)</f>
        <v xml:space="preserve">Parisa del Shad </v>
      </c>
      <c r="AI53" s="2395"/>
      <c r="AJ53" s="2395"/>
      <c r="AK53" s="2395"/>
      <c r="AL53" s="2395"/>
      <c r="AM53" s="2395"/>
      <c r="AN53" s="2395"/>
      <c r="AO53" s="2395"/>
      <c r="AP53" s="2395"/>
      <c r="AQ53" s="2395"/>
      <c r="AR53" s="2395"/>
      <c r="AS53" s="2395"/>
      <c r="AT53" s="2395"/>
      <c r="AU53" s="2395"/>
      <c r="AV53" s="2395"/>
      <c r="AW53" s="2395"/>
      <c r="AX53" s="2395"/>
      <c r="AY53" s="2395"/>
      <c r="AZ53" s="2395"/>
      <c r="BA53" s="2395"/>
      <c r="BB53" s="2395"/>
      <c r="BC53" s="2486"/>
    </row>
    <row r="54" spans="1:56" ht="19.5" customHeight="1" x14ac:dyDescent="0.25">
      <c r="A54" s="2408" t="str">
        <f>VLOOKUP(Z54,ASIGNATURAS!$F$1:$L$1022, 3, FALSE)</f>
        <v>CALCULO</v>
      </c>
      <c r="B54" s="2409"/>
      <c r="C54" s="2409"/>
      <c r="D54" s="2409"/>
      <c r="E54" s="2410"/>
      <c r="F54" s="2394" t="str">
        <f>VLOOKUP(Z54,ASIGNATURAS!$F$1:$L$1022, 4, FALSE)</f>
        <v>Cálculo</v>
      </c>
      <c r="G54" s="2395"/>
      <c r="H54" s="2395"/>
      <c r="I54" s="2395"/>
      <c r="J54" s="2395"/>
      <c r="K54" s="2395"/>
      <c r="L54" s="2395"/>
      <c r="M54" s="2395"/>
      <c r="N54" s="2395"/>
      <c r="O54" s="2395"/>
      <c r="P54" s="2395"/>
      <c r="Q54" s="2395"/>
      <c r="R54" s="2395"/>
      <c r="S54" s="2395"/>
      <c r="T54" s="2395"/>
      <c r="U54" s="2395"/>
      <c r="V54" s="2395"/>
      <c r="W54" s="2395"/>
      <c r="X54" s="2395"/>
      <c r="Y54" s="2396"/>
      <c r="Z54" s="2418">
        <v>8802</v>
      </c>
      <c r="AA54" s="2419"/>
      <c r="AB54" s="2419"/>
      <c r="AC54" s="2420"/>
      <c r="AD54" s="2418">
        <f>VLOOKUP(Z54,ASIGNATURAS!$F$1:$L$1022, 5, FALSE)</f>
        <v>6</v>
      </c>
      <c r="AE54" s="2419"/>
      <c r="AF54" s="2419"/>
      <c r="AG54" s="2420"/>
      <c r="AH54" s="2394" t="str">
        <f>VLOOKUP(Z54,ASIGNATURAS!$F$1:$L$1022, 6, FALSE)</f>
        <v>Sol García, María Saez-Royuela</v>
      </c>
      <c r="AI54" s="2395"/>
      <c r="AJ54" s="2395"/>
      <c r="AK54" s="2395"/>
      <c r="AL54" s="2395"/>
      <c r="AM54" s="2395"/>
      <c r="AN54" s="2395"/>
      <c r="AO54" s="2395"/>
      <c r="AP54" s="2395"/>
      <c r="AQ54" s="2395"/>
      <c r="AR54" s="2395"/>
      <c r="AS54" s="2395"/>
      <c r="AT54" s="2395"/>
      <c r="AU54" s="2395"/>
      <c r="AV54" s="2395"/>
      <c r="AW54" s="2395"/>
      <c r="AX54" s="2395"/>
      <c r="AY54" s="2395"/>
      <c r="AZ54" s="2395"/>
      <c r="BA54" s="2395"/>
      <c r="BB54" s="2395"/>
      <c r="BC54" s="2486"/>
    </row>
    <row r="55" spans="1:56" ht="19.5" customHeight="1" x14ac:dyDescent="0.25">
      <c r="A55" s="2411" t="str">
        <f>VLOOKUP(Z55,ASIGNATURAS!$F$1:$L$1022, 3, FALSE)</f>
        <v>PROGRAMACION</v>
      </c>
      <c r="B55" s="2412"/>
      <c r="C55" s="2412"/>
      <c r="D55" s="2412"/>
      <c r="E55" s="2413"/>
      <c r="F55" s="2394" t="str">
        <f>VLOOKUP(Z55,ASIGNATURAS!$F$1:$L$1022, 4, FALSE)</f>
        <v xml:space="preserve">Programación </v>
      </c>
      <c r="G55" s="2395"/>
      <c r="H55" s="2395"/>
      <c r="I55" s="2395"/>
      <c r="J55" s="2395"/>
      <c r="K55" s="2395"/>
      <c r="L55" s="2395"/>
      <c r="M55" s="2395"/>
      <c r="N55" s="2395"/>
      <c r="O55" s="2395"/>
      <c r="P55" s="2395"/>
      <c r="Q55" s="2395"/>
      <c r="R55" s="2395"/>
      <c r="S55" s="2395"/>
      <c r="T55" s="2395"/>
      <c r="U55" s="2395"/>
      <c r="V55" s="2395"/>
      <c r="W55" s="2395"/>
      <c r="X55" s="2395"/>
      <c r="Y55" s="2396"/>
      <c r="Z55" s="2418">
        <v>8803</v>
      </c>
      <c r="AA55" s="2419"/>
      <c r="AB55" s="2419"/>
      <c r="AC55" s="2420"/>
      <c r="AD55" s="2418">
        <f>VLOOKUP(Z55,ASIGNATURAS!$F$1:$L$1022, 5, FALSE)</f>
        <v>6</v>
      </c>
      <c r="AE55" s="2419"/>
      <c r="AF55" s="2419"/>
      <c r="AG55" s="2420"/>
      <c r="AH55" s="2394" t="str">
        <f>VLOOKUP(Z55,ASIGNATURAS!$F$1:$L$1022, 6, FALSE)</f>
        <v>Virginia Martínez, Carlos Pardo</v>
      </c>
      <c r="AI55" s="2395"/>
      <c r="AJ55" s="2395"/>
      <c r="AK55" s="2395"/>
      <c r="AL55" s="2395"/>
      <c r="AM55" s="2395"/>
      <c r="AN55" s="2395"/>
      <c r="AO55" s="2395"/>
      <c r="AP55" s="2395"/>
      <c r="AQ55" s="2395"/>
      <c r="AR55" s="2395"/>
      <c r="AS55" s="2395"/>
      <c r="AT55" s="2395"/>
      <c r="AU55" s="2395"/>
      <c r="AV55" s="2395"/>
      <c r="AW55" s="2395"/>
      <c r="AX55" s="2395"/>
      <c r="AY55" s="2395"/>
      <c r="AZ55" s="2395"/>
      <c r="BA55" s="2395"/>
      <c r="BB55" s="2395"/>
      <c r="BC55" s="2486"/>
    </row>
    <row r="56" spans="1:56" ht="19.5" customHeight="1" x14ac:dyDescent="0.25">
      <c r="A56" s="2411" t="str">
        <f>VLOOKUP(Z56,ASIGNATURAS!$F$1:$L$1022, 3, FALSE)</f>
        <v>COMPUTADORES</v>
      </c>
      <c r="B56" s="2412"/>
      <c r="C56" s="2412"/>
      <c r="D56" s="2412"/>
      <c r="E56" s="2413"/>
      <c r="F56" s="2394" t="str">
        <f>VLOOKUP(Z56,ASIGNATURAS!$F$1:$L$1022, 4, FALSE)</f>
        <v xml:space="preserve">Fundamentos de Computadores </v>
      </c>
      <c r="G56" s="2395"/>
      <c r="H56" s="2395"/>
      <c r="I56" s="2395"/>
      <c r="J56" s="2395"/>
      <c r="K56" s="2395"/>
      <c r="L56" s="2395"/>
      <c r="M56" s="2395"/>
      <c r="N56" s="2395"/>
      <c r="O56" s="2395"/>
      <c r="P56" s="2395"/>
      <c r="Q56" s="2395"/>
      <c r="R56" s="2395"/>
      <c r="S56" s="2395"/>
      <c r="T56" s="2395"/>
      <c r="U56" s="2395"/>
      <c r="V56" s="2395"/>
      <c r="W56" s="2395"/>
      <c r="X56" s="2395"/>
      <c r="Y56" s="2396"/>
      <c r="Z56" s="2418">
        <v>8804</v>
      </c>
      <c r="AA56" s="2419"/>
      <c r="AB56" s="2419"/>
      <c r="AC56" s="2420"/>
      <c r="AD56" s="2418">
        <f>VLOOKUP(Z56,ASIGNATURAS!$F$1:$L$1022, 5, FALSE)</f>
        <v>6</v>
      </c>
      <c r="AE56" s="2419"/>
      <c r="AF56" s="2419"/>
      <c r="AG56" s="2420"/>
      <c r="AH56" s="2394" t="str">
        <f>VLOOKUP(Z56,ASIGNATURAS!$F$1:$L$1022, 6, FALSE)</f>
        <v>Pedro Luis Sánchez</v>
      </c>
      <c r="AI56" s="2395"/>
      <c r="AJ56" s="2395"/>
      <c r="AK56" s="2395"/>
      <c r="AL56" s="2395"/>
      <c r="AM56" s="2395"/>
      <c r="AN56" s="2395"/>
      <c r="AO56" s="2395"/>
      <c r="AP56" s="2395"/>
      <c r="AQ56" s="2395"/>
      <c r="AR56" s="2395"/>
      <c r="AS56" s="2395"/>
      <c r="AT56" s="2395"/>
      <c r="AU56" s="2395"/>
      <c r="AV56" s="2395"/>
      <c r="AW56" s="2395"/>
      <c r="AX56" s="2395"/>
      <c r="AY56" s="2395"/>
      <c r="AZ56" s="2395"/>
      <c r="BA56" s="2395"/>
      <c r="BB56" s="2395"/>
      <c r="BC56" s="2486"/>
    </row>
    <row r="57" spans="1:56" ht="19.5" customHeight="1" thickBot="1" x14ac:dyDescent="0.3">
      <c r="A57" s="2402" t="str">
        <f>VLOOKUP(Z57,ASIGNATURAS!$F$1:$L$1022, 3, FALSE)</f>
        <v>SIST. OPERATIV.</v>
      </c>
      <c r="B57" s="2403"/>
      <c r="C57" s="2403"/>
      <c r="D57" s="2403"/>
      <c r="E57" s="2404"/>
      <c r="F57" s="2369" t="str">
        <f>VLOOKUP(Z57,ASIGNATURAS!$F$1:$L$1022, 4, FALSE)</f>
        <v xml:space="preserve">Sistemas Operativos </v>
      </c>
      <c r="G57" s="2370"/>
      <c r="H57" s="2370"/>
      <c r="I57" s="2370"/>
      <c r="J57" s="2370"/>
      <c r="K57" s="2370"/>
      <c r="L57" s="2370"/>
      <c r="M57" s="2370"/>
      <c r="N57" s="2370"/>
      <c r="O57" s="2370"/>
      <c r="P57" s="2370"/>
      <c r="Q57" s="2370"/>
      <c r="R57" s="2370"/>
      <c r="S57" s="2370"/>
      <c r="T57" s="2370"/>
      <c r="U57" s="2370"/>
      <c r="V57" s="2370"/>
      <c r="W57" s="2370"/>
      <c r="X57" s="2370"/>
      <c r="Y57" s="2371"/>
      <c r="Z57" s="2478">
        <v>8805</v>
      </c>
      <c r="AA57" s="2479"/>
      <c r="AB57" s="2479"/>
      <c r="AC57" s="2480"/>
      <c r="AD57" s="2478">
        <f>VLOOKUP(Z57,ASIGNATURAS!$F$1:$L$1022, 5, FALSE)</f>
        <v>6</v>
      </c>
      <c r="AE57" s="2479"/>
      <c r="AF57" s="2479"/>
      <c r="AG57" s="2480"/>
      <c r="AH57" s="2369" t="str">
        <f>VLOOKUP(Z57,ASIGNATURAS!$F$1:$L$1022, 6, FALSE)</f>
        <v>José Manuel Sáiz Díez, Ana Searrano</v>
      </c>
      <c r="AI57" s="2370"/>
      <c r="AJ57" s="2370"/>
      <c r="AK57" s="2370"/>
      <c r="AL57" s="2370"/>
      <c r="AM57" s="2370"/>
      <c r="AN57" s="2370"/>
      <c r="AO57" s="2370"/>
      <c r="AP57" s="2370"/>
      <c r="AQ57" s="2370"/>
      <c r="AR57" s="2370"/>
      <c r="AS57" s="2370"/>
      <c r="AT57" s="2370"/>
      <c r="AU57" s="2370"/>
      <c r="AV57" s="2370"/>
      <c r="AW57" s="2370"/>
      <c r="AX57" s="2370"/>
      <c r="AY57" s="2370"/>
      <c r="AZ57" s="2370"/>
      <c r="BA57" s="2370"/>
      <c r="BB57" s="2370"/>
      <c r="BC57" s="2475"/>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35" t="str">
        <f>VLOOKUP(A4,ASIGNATURAS!$A$2:$D$151, 3, FALSE)</f>
        <v>2º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7"/>
      <c r="AP1" s="1064" t="str">
        <f>'GII (primero)'!AT34</f>
        <v>Curso 2024-2025</v>
      </c>
      <c r="AQ1" s="1065"/>
      <c r="AR1" s="1065"/>
      <c r="AS1" s="1065"/>
      <c r="AT1" s="1065"/>
      <c r="AU1" s="1065"/>
      <c r="AV1" s="1065"/>
      <c r="AW1" s="1065"/>
      <c r="AX1" s="1065"/>
      <c r="AY1" s="1066"/>
    </row>
    <row r="2" spans="1:52" s="8" customFormat="1" ht="23.25" customHeight="1" thickBot="1" x14ac:dyDescent="0.45">
      <c r="A2" s="1132" t="str">
        <f>VLOOKUP(A4,ASIGNATURAS!$A$2:$D$151, 2, FALSE)</f>
        <v>Semestre temporal: 1º        (3º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514" t="s">
        <v>1093</v>
      </c>
      <c r="AQ2" s="2514"/>
      <c r="AR2" s="2514"/>
      <c r="AS2" s="2514"/>
      <c r="AT2" s="2514"/>
      <c r="AU2" s="2514"/>
      <c r="AV2" s="2514"/>
      <c r="AW2" s="2514"/>
      <c r="AX2" s="2514"/>
      <c r="AY2" s="2515"/>
    </row>
    <row r="3" spans="1:52"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516"/>
      <c r="AQ3" s="2516"/>
      <c r="AR3" s="2516"/>
      <c r="AS3" s="2516"/>
      <c r="AT3" s="2516"/>
      <c r="AU3" s="2516"/>
      <c r="AV3" s="2516"/>
      <c r="AW3" s="2516"/>
      <c r="AX3" s="2516"/>
      <c r="AY3" s="2517"/>
    </row>
    <row r="4" spans="1:52" ht="38.25" customHeight="1" thickBot="1" x14ac:dyDescent="0.3">
      <c r="A4" s="9" t="s">
        <v>68</v>
      </c>
    </row>
    <row r="5" spans="1:52" s="2" customFormat="1" ht="24" customHeight="1" thickBot="1" x14ac:dyDescent="0.3">
      <c r="A5" s="19" t="s">
        <v>1</v>
      </c>
      <c r="B5" s="975" t="s">
        <v>2</v>
      </c>
      <c r="C5" s="976"/>
      <c r="D5" s="976"/>
      <c r="E5" s="976"/>
      <c r="F5" s="976"/>
      <c r="G5" s="976"/>
      <c r="H5" s="976"/>
      <c r="I5" s="976"/>
      <c r="J5" s="976"/>
      <c r="K5" s="977"/>
      <c r="L5" s="975" t="s">
        <v>3</v>
      </c>
      <c r="M5" s="976"/>
      <c r="N5" s="976"/>
      <c r="O5" s="976"/>
      <c r="P5" s="976"/>
      <c r="Q5" s="976"/>
      <c r="R5" s="976"/>
      <c r="S5" s="976"/>
      <c r="T5" s="976"/>
      <c r="U5" s="977"/>
      <c r="V5" s="975" t="s">
        <v>135</v>
      </c>
      <c r="W5" s="976"/>
      <c r="X5" s="976"/>
      <c r="Y5" s="976"/>
      <c r="Z5" s="976"/>
      <c r="AA5" s="976"/>
      <c r="AB5" s="976"/>
      <c r="AC5" s="976"/>
      <c r="AD5" s="976"/>
      <c r="AE5" s="977"/>
      <c r="AF5" s="975" t="s">
        <v>4</v>
      </c>
      <c r="AG5" s="976"/>
      <c r="AH5" s="976"/>
      <c r="AI5" s="976"/>
      <c r="AJ5" s="976"/>
      <c r="AK5" s="976"/>
      <c r="AL5" s="976"/>
      <c r="AM5" s="976"/>
      <c r="AN5" s="976"/>
      <c r="AO5" s="977"/>
      <c r="AP5" s="975" t="s">
        <v>5</v>
      </c>
      <c r="AQ5" s="976"/>
      <c r="AR5" s="976"/>
      <c r="AS5" s="976"/>
      <c r="AT5" s="976"/>
      <c r="AU5" s="976"/>
      <c r="AV5" s="976"/>
      <c r="AW5" s="976"/>
      <c r="AX5" s="976"/>
      <c r="AY5" s="977"/>
    </row>
    <row r="6" spans="1:52" ht="40.5" customHeight="1" x14ac:dyDescent="0.25">
      <c r="A6" s="1128" t="s">
        <v>1091</v>
      </c>
      <c r="B6" s="547" t="s">
        <v>569</v>
      </c>
      <c r="C6" s="1051" t="s">
        <v>733</v>
      </c>
      <c r="D6" s="261"/>
      <c r="E6" s="1357"/>
      <c r="F6" s="95" t="s">
        <v>571</v>
      </c>
      <c r="G6" s="1050" t="s">
        <v>735</v>
      </c>
      <c r="H6" s="265"/>
      <c r="I6" s="1460"/>
      <c r="J6" s="261"/>
      <c r="K6" s="1357"/>
      <c r="L6" s="899" t="s">
        <v>573</v>
      </c>
      <c r="M6" s="2377" t="s">
        <v>1236</v>
      </c>
      <c r="N6" s="378" t="s">
        <v>570</v>
      </c>
      <c r="O6" s="1051" t="s">
        <v>557</v>
      </c>
      <c r="P6" s="523" t="s">
        <v>571</v>
      </c>
      <c r="Q6" s="2529" t="s">
        <v>145</v>
      </c>
      <c r="T6" s="78"/>
      <c r="U6" s="1149"/>
      <c r="V6" s="547" t="s">
        <v>569</v>
      </c>
      <c r="W6" s="1051" t="s">
        <v>557</v>
      </c>
      <c r="X6" s="383" t="s">
        <v>570</v>
      </c>
      <c r="Y6" s="2372" t="s">
        <v>1236</v>
      </c>
      <c r="Z6" s="95" t="s">
        <v>571</v>
      </c>
      <c r="AA6" s="1051" t="s">
        <v>733</v>
      </c>
      <c r="AB6" s="78"/>
      <c r="AC6" s="1357"/>
      <c r="AD6" s="20"/>
      <c r="AE6" s="20"/>
      <c r="AF6" s="759"/>
      <c r="AG6" s="1377"/>
      <c r="AH6" s="135"/>
      <c r="AI6" s="1362"/>
      <c r="AK6" s="31"/>
      <c r="AL6" s="899" t="s">
        <v>574</v>
      </c>
      <c r="AM6" s="2528" t="s">
        <v>735</v>
      </c>
      <c r="AN6" s="137"/>
      <c r="AO6" s="1363"/>
      <c r="AP6" s="471"/>
      <c r="AQ6" s="1357"/>
      <c r="AR6" s="78"/>
      <c r="AS6" s="1460"/>
      <c r="AT6" s="69"/>
      <c r="AU6" s="1460"/>
      <c r="AV6" s="761"/>
      <c r="AW6" s="1377"/>
      <c r="AX6" s="261"/>
      <c r="AY6" s="1168"/>
    </row>
    <row r="7" spans="1:52" ht="40.5" customHeight="1" x14ac:dyDescent="0.25">
      <c r="A7" s="1105"/>
      <c r="B7" s="1192" t="s">
        <v>100</v>
      </c>
      <c r="C7" s="1051"/>
      <c r="D7" s="1263"/>
      <c r="E7" s="1357"/>
      <c r="F7" s="1190" t="s">
        <v>403</v>
      </c>
      <c r="G7" s="1051"/>
      <c r="H7" s="1263"/>
      <c r="I7" s="1357"/>
      <c r="J7" s="1263"/>
      <c r="K7" s="1357"/>
      <c r="L7" s="2530" t="s">
        <v>516</v>
      </c>
      <c r="M7" s="2378"/>
      <c r="N7" s="1190" t="s">
        <v>32</v>
      </c>
      <c r="O7" s="1051"/>
      <c r="P7" s="1305" t="s">
        <v>32</v>
      </c>
      <c r="Q7" s="2529"/>
      <c r="T7" s="1263"/>
      <c r="U7" s="1149"/>
      <c r="V7" s="1192" t="s">
        <v>32</v>
      </c>
      <c r="W7" s="1051"/>
      <c r="X7" s="1190" t="s">
        <v>516</v>
      </c>
      <c r="Y7" s="2373"/>
      <c r="Z7" s="1190" t="s">
        <v>100</v>
      </c>
      <c r="AA7" s="1051"/>
      <c r="AB7" s="1263"/>
      <c r="AC7" s="1357"/>
      <c r="AD7" s="20"/>
      <c r="AE7" s="20"/>
      <c r="AF7" s="2527"/>
      <c r="AG7" s="1377"/>
      <c r="AH7" s="2483"/>
      <c r="AI7" s="1363"/>
      <c r="AL7" s="2384" t="s">
        <v>403</v>
      </c>
      <c r="AM7" s="2510"/>
      <c r="AN7" s="2352"/>
      <c r="AO7" s="1363"/>
      <c r="AP7" s="1209"/>
      <c r="AQ7" s="1357"/>
      <c r="AR7" s="1263"/>
      <c r="AS7" s="1357"/>
      <c r="AT7" s="1263"/>
      <c r="AU7" s="1357"/>
      <c r="AV7" s="1232"/>
      <c r="AW7" s="1377"/>
      <c r="AX7" s="1263"/>
      <c r="AY7" s="1168"/>
    </row>
    <row r="8" spans="1:52" ht="40.5" customHeight="1" x14ac:dyDescent="0.25">
      <c r="A8" s="1100" t="s">
        <v>183</v>
      </c>
      <c r="B8" s="1192"/>
      <c r="C8" s="1051"/>
      <c r="D8" s="1263"/>
      <c r="E8" s="1357"/>
      <c r="F8" s="1190"/>
      <c r="G8" s="1051"/>
      <c r="H8" s="1263"/>
      <c r="I8" s="1357"/>
      <c r="J8" s="1263"/>
      <c r="K8" s="1357"/>
      <c r="L8" s="2530"/>
      <c r="M8" s="2378"/>
      <c r="N8" s="1190"/>
      <c r="O8" s="1051"/>
      <c r="P8" s="1305"/>
      <c r="Q8" s="2529"/>
      <c r="T8" s="1263"/>
      <c r="U8" s="1149"/>
      <c r="V8" s="1192"/>
      <c r="W8" s="1051"/>
      <c r="X8" s="1190"/>
      <c r="Y8" s="2373"/>
      <c r="Z8" s="1190"/>
      <c r="AA8" s="1051"/>
      <c r="AB8" s="1263"/>
      <c r="AC8" s="1357"/>
      <c r="AD8" s="20"/>
      <c r="AE8" s="20"/>
      <c r="AF8" s="2527"/>
      <c r="AG8" s="1377"/>
      <c r="AH8" s="2483"/>
      <c r="AI8" s="1363"/>
      <c r="AL8" s="2384"/>
      <c r="AM8" s="2510"/>
      <c r="AN8" s="2352"/>
      <c r="AO8" s="1363"/>
      <c r="AP8" s="1209"/>
      <c r="AQ8" s="1357"/>
      <c r="AR8" s="1263"/>
      <c r="AS8" s="1357"/>
      <c r="AT8" s="1263"/>
      <c r="AU8" s="1357"/>
      <c r="AV8" s="1232"/>
      <c r="AW8" s="1377"/>
      <c r="AX8" s="1263"/>
      <c r="AY8" s="1168"/>
    </row>
    <row r="9" spans="1:52" ht="40.5" customHeight="1" thickBot="1" x14ac:dyDescent="0.3">
      <c r="A9" s="1105"/>
      <c r="B9" s="1192"/>
      <c r="C9" s="1051"/>
      <c r="D9" s="1263"/>
      <c r="E9" s="1357"/>
      <c r="F9" s="1191"/>
      <c r="G9" s="1485"/>
      <c r="H9" s="1264"/>
      <c r="I9" s="1358"/>
      <c r="J9" s="1263"/>
      <c r="K9" s="1357"/>
      <c r="L9" s="2530"/>
      <c r="M9" s="2378"/>
      <c r="N9" s="1190"/>
      <c r="O9" s="1051"/>
      <c r="P9" s="1305"/>
      <c r="Q9" s="2529"/>
      <c r="S9" s="35"/>
      <c r="T9" s="1685"/>
      <c r="U9" s="1149"/>
      <c r="V9" s="1193"/>
      <c r="W9" s="1051"/>
      <c r="X9" s="1190"/>
      <c r="Y9" s="2374"/>
      <c r="Z9" s="1191"/>
      <c r="AA9" s="1051"/>
      <c r="AB9" s="1263"/>
      <c r="AC9" s="1357"/>
      <c r="AD9" s="20"/>
      <c r="AE9" s="20"/>
      <c r="AF9" s="2527"/>
      <c r="AG9" s="1377"/>
      <c r="AH9" s="2483"/>
      <c r="AI9" s="1363"/>
      <c r="AL9" s="2434"/>
      <c r="AM9" s="2511"/>
      <c r="AN9" s="2352"/>
      <c r="AO9" s="1363"/>
      <c r="AP9" s="1209"/>
      <c r="AQ9" s="1357"/>
      <c r="AR9" s="1685"/>
      <c r="AS9" s="1519"/>
      <c r="AT9" s="1263"/>
      <c r="AU9" s="1357"/>
      <c r="AV9" s="1232"/>
      <c r="AW9" s="1377"/>
      <c r="AX9" s="1263"/>
      <c r="AY9" s="1168"/>
    </row>
    <row r="10" spans="1:52" ht="40.5" customHeight="1" x14ac:dyDescent="0.25">
      <c r="A10" s="1483" t="s">
        <v>182</v>
      </c>
      <c r="B10" s="2382" t="s">
        <v>403</v>
      </c>
      <c r="C10" s="2383"/>
      <c r="D10" s="2383"/>
      <c r="E10" s="2383"/>
      <c r="F10" s="2383"/>
      <c r="G10" s="2383"/>
      <c r="H10" s="2399" t="s">
        <v>149</v>
      </c>
      <c r="I10" s="2399"/>
      <c r="J10" s="2400"/>
      <c r="K10" s="107">
        <v>1</v>
      </c>
      <c r="L10" s="2382" t="s">
        <v>516</v>
      </c>
      <c r="M10" s="2383"/>
      <c r="N10" s="2383"/>
      <c r="O10" s="2383"/>
      <c r="P10" s="2383"/>
      <c r="Q10" s="2383"/>
      <c r="R10" s="2399" t="s">
        <v>147</v>
      </c>
      <c r="S10" s="2399"/>
      <c r="T10" s="2400"/>
      <c r="U10" s="107">
        <v>1</v>
      </c>
      <c r="V10" s="2508" t="s">
        <v>32</v>
      </c>
      <c r="W10" s="2509"/>
      <c r="X10" s="2509"/>
      <c r="Y10" s="2509"/>
      <c r="Z10" s="2509"/>
      <c r="AA10" s="2509"/>
      <c r="AB10" s="2399" t="s">
        <v>149</v>
      </c>
      <c r="AC10" s="2399"/>
      <c r="AD10" s="2400"/>
      <c r="AE10" s="107">
        <v>1</v>
      </c>
      <c r="AF10" s="2382" t="s">
        <v>516</v>
      </c>
      <c r="AG10" s="2383"/>
      <c r="AH10" s="2383"/>
      <c r="AI10" s="2383"/>
      <c r="AJ10" s="2383"/>
      <c r="AK10" s="2383"/>
      <c r="AL10" s="2399" t="s">
        <v>147</v>
      </c>
      <c r="AM10" s="2399"/>
      <c r="AN10" s="2400"/>
      <c r="AO10" s="107">
        <v>1</v>
      </c>
      <c r="AP10" s="2508" t="s">
        <v>32</v>
      </c>
      <c r="AQ10" s="2509"/>
      <c r="AR10" s="2509"/>
      <c r="AS10" s="2509"/>
      <c r="AT10" s="2509"/>
      <c r="AU10" s="2509"/>
      <c r="AV10" s="2399" t="s">
        <v>149</v>
      </c>
      <c r="AW10" s="2399"/>
      <c r="AX10" s="2400"/>
      <c r="AY10" s="107">
        <v>1</v>
      </c>
    </row>
    <row r="11" spans="1:52" ht="40.5" customHeight="1" thickBot="1" x14ac:dyDescent="0.3">
      <c r="A11" s="1486"/>
      <c r="B11" s="2388" t="s">
        <v>100</v>
      </c>
      <c r="C11" s="2389"/>
      <c r="D11" s="2389"/>
      <c r="E11" s="2389"/>
      <c r="F11" s="2389"/>
      <c r="G11" s="2389"/>
      <c r="H11" s="2386" t="s">
        <v>147</v>
      </c>
      <c r="I11" s="2386"/>
      <c r="J11" s="2387"/>
      <c r="K11" s="890">
        <v>2</v>
      </c>
      <c r="L11" s="2512" t="s">
        <v>516</v>
      </c>
      <c r="M11" s="2417"/>
      <c r="N11" s="2417"/>
      <c r="O11" s="2417"/>
      <c r="P11" s="2417"/>
      <c r="Q11" s="2417"/>
      <c r="R11" s="2386" t="s">
        <v>147</v>
      </c>
      <c r="S11" s="2386"/>
      <c r="T11" s="2387"/>
      <c r="U11" s="890">
        <v>2</v>
      </c>
      <c r="V11" s="2388" t="s">
        <v>32</v>
      </c>
      <c r="W11" s="2389"/>
      <c r="X11" s="2389"/>
      <c r="Y11" s="2389"/>
      <c r="Z11" s="2389"/>
      <c r="AA11" s="2389"/>
      <c r="AB11" s="2386" t="s">
        <v>147</v>
      </c>
      <c r="AC11" s="2386"/>
      <c r="AD11" s="2387"/>
      <c r="AE11" s="890">
        <v>2</v>
      </c>
      <c r="AF11" s="2512" t="s">
        <v>516</v>
      </c>
      <c r="AG11" s="2513"/>
      <c r="AH11" s="2513"/>
      <c r="AI11" s="2513"/>
      <c r="AJ11" s="2513"/>
      <c r="AK11" s="2513"/>
      <c r="AL11" s="2386" t="s">
        <v>147</v>
      </c>
      <c r="AM11" s="2386"/>
      <c r="AN11" s="2387"/>
      <c r="AO11" s="890">
        <v>2</v>
      </c>
      <c r="AP11" s="2388" t="s">
        <v>32</v>
      </c>
      <c r="AQ11" s="2389"/>
      <c r="AR11" s="2389"/>
      <c r="AS11" s="2389"/>
      <c r="AT11" s="2389"/>
      <c r="AU11" s="2389"/>
      <c r="AV11" s="2386" t="s">
        <v>147</v>
      </c>
      <c r="AW11" s="2386"/>
      <c r="AX11" s="2387"/>
      <c r="AY11" s="890">
        <v>2</v>
      </c>
    </row>
    <row r="12" spans="1:52" ht="40.5" customHeight="1" x14ac:dyDescent="0.25">
      <c r="A12" s="1100" t="s">
        <v>184</v>
      </c>
      <c r="B12" s="2679" t="s">
        <v>100</v>
      </c>
      <c r="C12" s="2680"/>
      <c r="D12" s="2680"/>
      <c r="E12" s="2680"/>
      <c r="F12" s="2680"/>
      <c r="G12" s="2680"/>
      <c r="H12" s="2399" t="s">
        <v>149</v>
      </c>
      <c r="I12" s="2399"/>
      <c r="J12" s="2400"/>
      <c r="K12" s="107">
        <v>1</v>
      </c>
      <c r="L12" s="2508" t="s">
        <v>99</v>
      </c>
      <c r="M12" s="2509"/>
      <c r="N12" s="2509"/>
      <c r="O12" s="2509"/>
      <c r="P12" s="2509"/>
      <c r="Q12" s="2509"/>
      <c r="R12" s="2399" t="s">
        <v>147</v>
      </c>
      <c r="S12" s="2399"/>
      <c r="T12" s="2400"/>
      <c r="U12" s="107">
        <v>1</v>
      </c>
      <c r="V12" s="2382" t="s">
        <v>100</v>
      </c>
      <c r="W12" s="2383"/>
      <c r="X12" s="2383"/>
      <c r="Y12" s="2383"/>
      <c r="Z12" s="2383"/>
      <c r="AA12" s="2383"/>
      <c r="AB12" s="2399" t="s">
        <v>149</v>
      </c>
      <c r="AC12" s="2399"/>
      <c r="AD12" s="2400"/>
      <c r="AE12" s="107">
        <v>1</v>
      </c>
      <c r="AF12" s="2508" t="s">
        <v>99</v>
      </c>
      <c r="AG12" s="2509"/>
      <c r="AH12" s="2509"/>
      <c r="AI12" s="2509"/>
      <c r="AJ12" s="2509"/>
      <c r="AK12" s="2509"/>
      <c r="AL12" s="2399" t="s">
        <v>147</v>
      </c>
      <c r="AM12" s="2399"/>
      <c r="AN12" s="2400"/>
      <c r="AO12" s="107">
        <v>1</v>
      </c>
      <c r="AP12" s="2508" t="s">
        <v>403</v>
      </c>
      <c r="AQ12" s="2509"/>
      <c r="AR12" s="2509"/>
      <c r="AS12" s="2509"/>
      <c r="AT12" s="2509"/>
      <c r="AU12" s="2509"/>
      <c r="AV12" s="2399" t="s">
        <v>149</v>
      </c>
      <c r="AW12" s="2399"/>
      <c r="AX12" s="2400"/>
      <c r="AY12" s="107">
        <v>1</v>
      </c>
    </row>
    <row r="13" spans="1:52" ht="40.5" customHeight="1" thickBot="1" x14ac:dyDescent="0.3">
      <c r="A13" s="1105"/>
      <c r="B13" s="2388" t="s">
        <v>403</v>
      </c>
      <c r="C13" s="2389"/>
      <c r="D13" s="2389"/>
      <c r="E13" s="2389"/>
      <c r="F13" s="2389"/>
      <c r="G13" s="2389"/>
      <c r="H13" s="2681" t="s">
        <v>147</v>
      </c>
      <c r="I13" s="2681"/>
      <c r="J13" s="2682"/>
      <c r="K13" s="891">
        <v>2</v>
      </c>
      <c r="L13" s="2388" t="s">
        <v>99</v>
      </c>
      <c r="M13" s="2389"/>
      <c r="N13" s="2389"/>
      <c r="O13" s="2389"/>
      <c r="P13" s="2389"/>
      <c r="Q13" s="2389"/>
      <c r="R13" s="2386" t="s">
        <v>147</v>
      </c>
      <c r="S13" s="2386"/>
      <c r="T13" s="2387"/>
      <c r="U13" s="890">
        <v>2</v>
      </c>
      <c r="V13" s="2388" t="s">
        <v>403</v>
      </c>
      <c r="W13" s="2389"/>
      <c r="X13" s="2389"/>
      <c r="Y13" s="2389"/>
      <c r="Z13" s="2389"/>
      <c r="AA13" s="2389"/>
      <c r="AB13" s="2386" t="s">
        <v>147</v>
      </c>
      <c r="AC13" s="2386"/>
      <c r="AD13" s="2387"/>
      <c r="AE13" s="890">
        <v>2</v>
      </c>
      <c r="AF13" s="2388" t="s">
        <v>99</v>
      </c>
      <c r="AG13" s="2389"/>
      <c r="AH13" s="2389"/>
      <c r="AI13" s="2389"/>
      <c r="AJ13" s="2389"/>
      <c r="AK13" s="2389"/>
      <c r="AL13" s="2386" t="s">
        <v>147</v>
      </c>
      <c r="AM13" s="2386"/>
      <c r="AN13" s="2387"/>
      <c r="AO13" s="890">
        <v>2</v>
      </c>
      <c r="AP13" s="2388" t="s">
        <v>100</v>
      </c>
      <c r="AQ13" s="2389"/>
      <c r="AR13" s="2389"/>
      <c r="AS13" s="2389"/>
      <c r="AT13" s="2389"/>
      <c r="AU13" s="2389"/>
      <c r="AV13" s="2386" t="s">
        <v>147</v>
      </c>
      <c r="AW13" s="2386"/>
      <c r="AX13" s="2387"/>
      <c r="AY13" s="890">
        <v>2</v>
      </c>
      <c r="AZ13" s="10"/>
    </row>
    <row r="14" spans="1:52" ht="45" customHeight="1" x14ac:dyDescent="0.25">
      <c r="A14" s="1100" t="s">
        <v>185</v>
      </c>
      <c r="B14" s="383" t="s">
        <v>569</v>
      </c>
      <c r="C14" s="1051" t="s">
        <v>1255</v>
      </c>
      <c r="D14" s="378" t="s">
        <v>570</v>
      </c>
      <c r="E14" s="1051" t="s">
        <v>733</v>
      </c>
      <c r="G14" s="240"/>
      <c r="H14" s="213" t="s">
        <v>573</v>
      </c>
      <c r="I14" s="2510" t="s">
        <v>735</v>
      </c>
      <c r="J14" s="900" t="s">
        <v>574</v>
      </c>
      <c r="K14" s="2689" t="s">
        <v>557</v>
      </c>
      <c r="L14" s="378" t="s">
        <v>569</v>
      </c>
      <c r="M14" s="1051" t="s">
        <v>735</v>
      </c>
      <c r="N14" s="383" t="s">
        <v>570</v>
      </c>
      <c r="O14" s="1051" t="s">
        <v>555</v>
      </c>
      <c r="P14" s="137"/>
      <c r="Q14" s="1357"/>
      <c r="R14" s="213" t="s">
        <v>573</v>
      </c>
      <c r="S14" s="2510" t="s">
        <v>733</v>
      </c>
      <c r="T14" s="213" t="s">
        <v>574</v>
      </c>
      <c r="U14" s="2460" t="s">
        <v>1236</v>
      </c>
      <c r="V14" s="471"/>
      <c r="W14" s="1357"/>
      <c r="X14" s="20"/>
      <c r="Y14" s="498"/>
      <c r="Z14" s="128" t="s">
        <v>574</v>
      </c>
      <c r="AA14" s="2510" t="s">
        <v>555</v>
      </c>
      <c r="AB14" s="383" t="s">
        <v>569</v>
      </c>
      <c r="AC14" s="2373" t="s">
        <v>1236</v>
      </c>
      <c r="AD14" s="213" t="s">
        <v>573</v>
      </c>
      <c r="AE14" s="2528" t="s">
        <v>735</v>
      </c>
      <c r="AF14" s="471"/>
      <c r="AG14" s="1357"/>
      <c r="AH14" s="383" t="s">
        <v>570</v>
      </c>
      <c r="AI14" s="1051" t="s">
        <v>733</v>
      </c>
      <c r="AJ14" s="95" t="s">
        <v>571</v>
      </c>
      <c r="AK14" s="2372" t="s">
        <v>1236</v>
      </c>
      <c r="AL14" s="213" t="s">
        <v>573</v>
      </c>
      <c r="AM14" s="2510" t="s">
        <v>557</v>
      </c>
      <c r="AN14" s="213" t="s">
        <v>574</v>
      </c>
      <c r="AO14" s="2686" t="s">
        <v>735</v>
      </c>
      <c r="AP14" s="762"/>
      <c r="AQ14" s="20"/>
      <c r="AR14" s="78"/>
      <c r="AS14" s="2390"/>
      <c r="AT14" s="69"/>
      <c r="AU14" s="1357"/>
      <c r="AW14" s="79"/>
      <c r="AX14" s="125"/>
      <c r="AY14" s="1540"/>
      <c r="AZ14" s="10"/>
    </row>
    <row r="15" spans="1:52" ht="45" customHeight="1" x14ac:dyDescent="0.25">
      <c r="A15" s="1105"/>
      <c r="B15" s="1192" t="s">
        <v>403</v>
      </c>
      <c r="C15" s="1051"/>
      <c r="D15" s="1190" t="s">
        <v>100</v>
      </c>
      <c r="E15" s="1051"/>
      <c r="H15" s="2384" t="s">
        <v>99</v>
      </c>
      <c r="I15" s="2510"/>
      <c r="J15" s="2384" t="s">
        <v>32</v>
      </c>
      <c r="K15" s="2690"/>
      <c r="L15" s="1309" t="s">
        <v>99</v>
      </c>
      <c r="M15" s="1051"/>
      <c r="N15" s="1190" t="s">
        <v>99</v>
      </c>
      <c r="O15" s="1051"/>
      <c r="P15" s="1263"/>
      <c r="Q15" s="1357"/>
      <c r="R15" s="2384" t="s">
        <v>100</v>
      </c>
      <c r="S15" s="2510"/>
      <c r="T15" s="2384" t="s">
        <v>516</v>
      </c>
      <c r="U15" s="2378"/>
      <c r="V15" s="1209"/>
      <c r="W15" s="1357"/>
      <c r="X15" s="20"/>
      <c r="Y15" s="20"/>
      <c r="Z15" s="2384" t="s">
        <v>99</v>
      </c>
      <c r="AA15" s="2510"/>
      <c r="AB15" s="1190" t="s">
        <v>516</v>
      </c>
      <c r="AC15" s="2373"/>
      <c r="AD15" s="2384" t="s">
        <v>403</v>
      </c>
      <c r="AE15" s="2510"/>
      <c r="AF15" s="1209"/>
      <c r="AG15" s="1357"/>
      <c r="AH15" s="1190" t="s">
        <v>403</v>
      </c>
      <c r="AI15" s="1051"/>
      <c r="AJ15" s="1190" t="s">
        <v>516</v>
      </c>
      <c r="AK15" s="2373"/>
      <c r="AL15" s="2384" t="s">
        <v>32</v>
      </c>
      <c r="AM15" s="2510"/>
      <c r="AN15" s="2391" t="s">
        <v>100</v>
      </c>
      <c r="AO15" s="2687"/>
      <c r="AP15" s="20"/>
      <c r="AQ15" s="20"/>
      <c r="AR15" s="1263"/>
      <c r="AS15" s="2356"/>
      <c r="AT15" s="1263"/>
      <c r="AU15" s="1357"/>
      <c r="AW15" s="79"/>
      <c r="AX15" s="1360"/>
      <c r="AY15" s="1168"/>
    </row>
    <row r="16" spans="1:52" ht="45" customHeight="1" x14ac:dyDescent="0.25">
      <c r="A16" s="1100" t="s">
        <v>186</v>
      </c>
      <c r="B16" s="1192"/>
      <c r="C16" s="1051"/>
      <c r="D16" s="1190"/>
      <c r="E16" s="1051"/>
      <c r="H16" s="2384"/>
      <c r="I16" s="2510"/>
      <c r="J16" s="2384"/>
      <c r="K16" s="2690"/>
      <c r="L16" s="1309"/>
      <c r="M16" s="1051"/>
      <c r="N16" s="1190"/>
      <c r="O16" s="1051"/>
      <c r="P16" s="1263"/>
      <c r="Q16" s="1357"/>
      <c r="R16" s="2384"/>
      <c r="S16" s="2510"/>
      <c r="T16" s="2384"/>
      <c r="U16" s="2378"/>
      <c r="V16" s="1209"/>
      <c r="W16" s="1357"/>
      <c r="X16" s="20"/>
      <c r="Y16" s="20"/>
      <c r="Z16" s="2384"/>
      <c r="AA16" s="2510"/>
      <c r="AB16" s="1190"/>
      <c r="AC16" s="2373"/>
      <c r="AD16" s="2384"/>
      <c r="AE16" s="2510"/>
      <c r="AF16" s="1209"/>
      <c r="AG16" s="1357"/>
      <c r="AH16" s="1190"/>
      <c r="AI16" s="1051"/>
      <c r="AJ16" s="1190"/>
      <c r="AK16" s="2373"/>
      <c r="AL16" s="2384"/>
      <c r="AM16" s="2510"/>
      <c r="AN16" s="2391"/>
      <c r="AO16" s="2687"/>
      <c r="AP16" s="494"/>
      <c r="AQ16" s="20"/>
      <c r="AR16" s="1263"/>
      <c r="AS16" s="2356"/>
      <c r="AT16" s="1263"/>
      <c r="AU16" s="1357"/>
      <c r="AW16" s="79"/>
      <c r="AX16" s="1360"/>
      <c r="AY16" s="1168"/>
    </row>
    <row r="17" spans="1:51" ht="45" customHeight="1" thickBot="1" x14ac:dyDescent="0.3">
      <c r="A17" s="1101"/>
      <c r="B17" s="1206"/>
      <c r="C17" s="1485"/>
      <c r="D17" s="1191"/>
      <c r="E17" s="1485"/>
      <c r="F17" s="407"/>
      <c r="G17" s="220"/>
      <c r="H17" s="2434"/>
      <c r="I17" s="2511"/>
      <c r="J17" s="2434"/>
      <c r="K17" s="2691"/>
      <c r="L17" s="2485"/>
      <c r="M17" s="1485"/>
      <c r="N17" s="1191"/>
      <c r="O17" s="1051"/>
      <c r="P17" s="1263"/>
      <c r="Q17" s="1357"/>
      <c r="R17" s="2434"/>
      <c r="S17" s="2511"/>
      <c r="T17" s="2434"/>
      <c r="U17" s="2461"/>
      <c r="V17" s="2518"/>
      <c r="W17" s="1357"/>
      <c r="X17" s="414"/>
      <c r="Y17" s="20"/>
      <c r="Z17" s="2434"/>
      <c r="AA17" s="2510"/>
      <c r="AB17" s="1191"/>
      <c r="AC17" s="2428"/>
      <c r="AD17" s="2434"/>
      <c r="AE17" s="2511"/>
      <c r="AF17" s="2518"/>
      <c r="AG17" s="1519"/>
      <c r="AH17" s="1191"/>
      <c r="AI17" s="1485"/>
      <c r="AJ17" s="1191"/>
      <c r="AK17" s="2374"/>
      <c r="AL17" s="2384"/>
      <c r="AM17" s="2511"/>
      <c r="AN17" s="2685"/>
      <c r="AO17" s="2688"/>
      <c r="AP17" s="414"/>
      <c r="AQ17" s="414"/>
      <c r="AR17" s="1685"/>
      <c r="AS17" s="2356"/>
      <c r="AT17" s="1685"/>
      <c r="AU17" s="1519"/>
      <c r="AV17" s="35"/>
      <c r="AW17" s="80"/>
      <c r="AX17" s="1371"/>
      <c r="AY17" s="1169"/>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494" t="s">
        <v>214</v>
      </c>
      <c r="B19" s="2495"/>
      <c r="C19" s="1788" t="s">
        <v>215</v>
      </c>
      <c r="D19" s="1788"/>
      <c r="E19" s="1788"/>
      <c r="F19" s="1788"/>
      <c r="G19" s="1788"/>
      <c r="H19" s="1788"/>
      <c r="I19" s="1788"/>
      <c r="J19" s="1788"/>
      <c r="K19" s="1788"/>
      <c r="L19" s="1788"/>
      <c r="M19" s="1788"/>
      <c r="N19" s="1788"/>
      <c r="O19" s="1788"/>
      <c r="P19" s="1788"/>
      <c r="Q19" s="1788"/>
      <c r="R19" s="1788"/>
      <c r="S19" s="1788"/>
      <c r="T19" s="1789"/>
      <c r="U19" s="2496" t="s">
        <v>318</v>
      </c>
      <c r="V19" s="2497"/>
      <c r="W19" s="2498" t="s">
        <v>139</v>
      </c>
      <c r="X19" s="2499"/>
      <c r="Y19" s="2499"/>
      <c r="Z19" s="2495"/>
      <c r="AA19" s="2500" t="s">
        <v>163</v>
      </c>
      <c r="AB19" s="2500"/>
      <c r="AC19" s="2500"/>
      <c r="AD19" s="2501"/>
      <c r="AE19" s="2501"/>
      <c r="AF19" s="2501"/>
      <c r="AG19" s="2501"/>
      <c r="AH19" s="2501"/>
      <c r="AI19" s="2501"/>
      <c r="AJ19" s="2501"/>
      <c r="AK19" s="2501"/>
      <c r="AL19" s="2501"/>
      <c r="AM19" s="2501"/>
      <c r="AN19" s="2501"/>
      <c r="AO19" s="2501"/>
      <c r="AP19" s="2501"/>
      <c r="AQ19" s="2501"/>
      <c r="AR19" s="2501"/>
      <c r="AS19" s="2501"/>
      <c r="AT19" s="2501"/>
      <c r="AU19" s="2501"/>
      <c r="AV19" s="2501"/>
      <c r="AW19" s="2501"/>
      <c r="AX19" s="2501"/>
      <c r="AY19" s="2502"/>
    </row>
    <row r="20" spans="1:51" s="106" customFormat="1" ht="18" customHeight="1" x14ac:dyDescent="0.3">
      <c r="A20" s="2503" t="str">
        <f>VLOOKUP(U20,ASIGNATURAS!$F$1:$L$1022, 3, FALSE)</f>
        <v>MET. PROG.</v>
      </c>
      <c r="B20" s="2504"/>
      <c r="C20" s="2261" t="str">
        <f>VLOOKUP(U20,ASIGNATURAS!$F$1:$L$1022, 4, FALSE)</f>
        <v xml:space="preserve">Metodología de la Programación </v>
      </c>
      <c r="D20" s="2262"/>
      <c r="E20" s="2262"/>
      <c r="F20" s="2262"/>
      <c r="G20" s="2262"/>
      <c r="H20" s="2262"/>
      <c r="I20" s="2262"/>
      <c r="J20" s="2262"/>
      <c r="K20" s="2262"/>
      <c r="L20" s="2262"/>
      <c r="M20" s="2262"/>
      <c r="N20" s="2262"/>
      <c r="O20" s="2262"/>
      <c r="P20" s="2262"/>
      <c r="Q20" s="2262"/>
      <c r="R20" s="2505"/>
      <c r="S20" s="2505"/>
      <c r="T20" s="2506"/>
      <c r="U20" s="2305">
        <v>8806</v>
      </c>
      <c r="V20" s="2507"/>
      <c r="W20" s="2305">
        <f>VLOOKUP(U20,ASIGNATURAS!$F$1:$L$1022, 5, FALSE)</f>
        <v>6</v>
      </c>
      <c r="X20" s="2306"/>
      <c r="Y20" s="2306"/>
      <c r="Z20" s="2507"/>
      <c r="AA20" s="2261" t="str">
        <f>VLOOKUP(U20,ASIGNATURAS!$F$1:$L$1022, 6, FALSE)</f>
        <v>Raúl Marticorena Sánchez</v>
      </c>
      <c r="AB20" s="2261"/>
      <c r="AC20" s="2261"/>
      <c r="AD20" s="2262"/>
      <c r="AE20" s="2262"/>
      <c r="AF20" s="2262"/>
      <c r="AG20" s="2262"/>
      <c r="AH20" s="2262"/>
      <c r="AI20" s="2262"/>
      <c r="AJ20" s="2262"/>
      <c r="AK20" s="2262"/>
      <c r="AL20" s="2262"/>
      <c r="AM20" s="2262"/>
      <c r="AN20" s="2262"/>
      <c r="AO20" s="2262"/>
      <c r="AP20" s="2262"/>
      <c r="AQ20" s="2262"/>
      <c r="AR20" s="2262"/>
      <c r="AS20" s="2262"/>
      <c r="AT20" s="2262"/>
      <c r="AU20" s="2262"/>
      <c r="AV20" s="2262"/>
      <c r="AW20" s="2262"/>
      <c r="AX20" s="2262"/>
      <c r="AY20" s="2506"/>
    </row>
    <row r="21" spans="1:51" s="106" customFormat="1" ht="18" customHeight="1" x14ac:dyDescent="0.3">
      <c r="A21" s="1188" t="str">
        <f>VLOOKUP(U21,ASIGNATURAS!$F$1:$L$1022, 3, FALSE)</f>
        <v>ESTADISTICA</v>
      </c>
      <c r="B21" s="1189"/>
      <c r="C21" s="981" t="str">
        <f>VLOOKUP(U21,ASIGNATURAS!$F$1:$L$1022, 4, FALSE)</f>
        <v>Estadística</v>
      </c>
      <c r="D21" s="982"/>
      <c r="E21" s="982"/>
      <c r="F21" s="982"/>
      <c r="G21" s="982"/>
      <c r="H21" s="982"/>
      <c r="I21" s="982"/>
      <c r="J21" s="982"/>
      <c r="K21" s="982"/>
      <c r="L21" s="982"/>
      <c r="M21" s="982"/>
      <c r="N21" s="982"/>
      <c r="O21" s="982"/>
      <c r="P21" s="982"/>
      <c r="Q21" s="982"/>
      <c r="R21" s="2006"/>
      <c r="S21" s="2006"/>
      <c r="T21" s="983"/>
      <c r="U21" s="936">
        <v>8807</v>
      </c>
      <c r="V21" s="937"/>
      <c r="W21" s="936">
        <f>VLOOKUP(U21,ASIGNATURAS!$F$1:$L$1022, 5, FALSE)</f>
        <v>6</v>
      </c>
      <c r="X21" s="1205"/>
      <c r="Y21" s="1205"/>
      <c r="Z21" s="937"/>
      <c r="AA21" s="981" t="str">
        <f>VLOOKUP(U21,ASIGNATURAS!$F$1:$L$1022, 6, FALSE)</f>
        <v xml:space="preserve">Diego Sedano, Alvaro Díez </v>
      </c>
      <c r="AB21" s="981"/>
      <c r="AC21" s="981"/>
      <c r="AD21" s="982"/>
      <c r="AE21" s="982"/>
      <c r="AF21" s="982"/>
      <c r="AG21" s="982"/>
      <c r="AH21" s="982"/>
      <c r="AI21" s="982"/>
      <c r="AJ21" s="982"/>
      <c r="AK21" s="982"/>
      <c r="AL21" s="982"/>
      <c r="AM21" s="982"/>
      <c r="AN21" s="982"/>
      <c r="AO21" s="982"/>
      <c r="AP21" s="982"/>
      <c r="AQ21" s="982"/>
      <c r="AR21" s="982"/>
      <c r="AS21" s="982"/>
      <c r="AT21" s="982"/>
      <c r="AU21" s="982"/>
      <c r="AV21" s="982"/>
      <c r="AW21" s="982"/>
      <c r="AX21" s="982"/>
      <c r="AY21" s="983"/>
    </row>
    <row r="22" spans="1:51" s="106" customFormat="1" ht="18" customHeight="1" x14ac:dyDescent="0.3">
      <c r="A22" s="1188" t="str">
        <f>VLOOKUP(U22,ASIGNATURAS!$F$1:$L$1022, 3, FALSE)</f>
        <v>SOFTWARE</v>
      </c>
      <c r="B22" s="1189"/>
      <c r="C22" s="981" t="str">
        <f>VLOOKUP(U22,ASIGNATURAS!$F$1:$L$1022, 4, FALSE)</f>
        <v>Ingeniería del Software</v>
      </c>
      <c r="D22" s="982"/>
      <c r="E22" s="982"/>
      <c r="F22" s="982"/>
      <c r="G22" s="982"/>
      <c r="H22" s="982"/>
      <c r="I22" s="982"/>
      <c r="J22" s="982"/>
      <c r="K22" s="982"/>
      <c r="L22" s="982"/>
      <c r="M22" s="982"/>
      <c r="N22" s="982"/>
      <c r="O22" s="982"/>
      <c r="P22" s="982"/>
      <c r="Q22" s="982"/>
      <c r="R22" s="2006"/>
      <c r="S22" s="2006"/>
      <c r="T22" s="983"/>
      <c r="U22" s="936">
        <v>8808</v>
      </c>
      <c r="V22" s="937"/>
      <c r="W22" s="936">
        <f>VLOOKUP(U22,ASIGNATURAS!$F$1:$L$1022, 5, FALSE)</f>
        <v>6</v>
      </c>
      <c r="X22" s="1205"/>
      <c r="Y22" s="1205"/>
      <c r="Z22" s="937"/>
      <c r="AA22" s="981" t="str">
        <f>VLOOKUP(U22,ASIGNATURAS!$F$1:$L$1022, 6, FALSE)</f>
        <v>Jorge San Miguel Navazo, Belén Vaquerizo</v>
      </c>
      <c r="AB22" s="981"/>
      <c r="AC22" s="981"/>
      <c r="AD22" s="982"/>
      <c r="AE22" s="982"/>
      <c r="AF22" s="982"/>
      <c r="AG22" s="982"/>
      <c r="AH22" s="982"/>
      <c r="AI22" s="982"/>
      <c r="AJ22" s="982"/>
      <c r="AK22" s="982"/>
      <c r="AL22" s="982"/>
      <c r="AM22" s="982"/>
      <c r="AN22" s="982"/>
      <c r="AO22" s="982"/>
      <c r="AP22" s="982"/>
      <c r="AQ22" s="982"/>
      <c r="AR22" s="982"/>
      <c r="AS22" s="982"/>
      <c r="AT22" s="982"/>
      <c r="AU22" s="982"/>
      <c r="AV22" s="982"/>
      <c r="AW22" s="982"/>
      <c r="AX22" s="982"/>
      <c r="AY22" s="983"/>
    </row>
    <row r="23" spans="1:51" s="106" customFormat="1" ht="18" customHeight="1" x14ac:dyDescent="0.3">
      <c r="A23" s="1188" t="str">
        <f>VLOOKUP(U23,ASIGNATURAS!$F$1:$L$1022, 3, FALSE)</f>
        <v>BASES DATOS</v>
      </c>
      <c r="B23" s="1189"/>
      <c r="C23" s="981" t="str">
        <f>VLOOKUP(U23,ASIGNATURAS!$F$1:$L$1022, 4, FALSE)</f>
        <v>Bases de Datos</v>
      </c>
      <c r="D23" s="982"/>
      <c r="E23" s="982"/>
      <c r="F23" s="982"/>
      <c r="G23" s="982"/>
      <c r="H23" s="982"/>
      <c r="I23" s="982"/>
      <c r="J23" s="982"/>
      <c r="K23" s="982"/>
      <c r="L23" s="982"/>
      <c r="M23" s="982"/>
      <c r="N23" s="982"/>
      <c r="O23" s="982"/>
      <c r="P23" s="982"/>
      <c r="Q23" s="982"/>
      <c r="R23" s="2006"/>
      <c r="S23" s="2006"/>
      <c r="T23" s="983"/>
      <c r="U23" s="936">
        <v>8809</v>
      </c>
      <c r="V23" s="937"/>
      <c r="W23" s="936">
        <f>VLOOKUP(U23,ASIGNATURAS!$F$1:$L$1022, 5, FALSE)</f>
        <v>6</v>
      </c>
      <c r="X23" s="1205"/>
      <c r="Y23" s="1205"/>
      <c r="Z23" s="937"/>
      <c r="AA23" s="981" t="str">
        <f>VLOOKUP(U23,ASIGNATURAS!$F$1:$L$1022, 6, FALSE)</f>
        <v>Jesús Manuel Maudes Raedo</v>
      </c>
      <c r="AB23" s="981"/>
      <c r="AC23" s="981"/>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3"/>
    </row>
    <row r="24" spans="1:51" s="106" customFormat="1" ht="18" customHeight="1" thickBot="1" x14ac:dyDescent="0.35">
      <c r="A24" s="1201" t="str">
        <f>VLOOKUP(U24,ASIGNATURAS!$F$1:$L$1022, 3, FALSE)</f>
        <v>ARQUIT. COMP.</v>
      </c>
      <c r="B24" s="1372"/>
      <c r="C24" s="1022" t="str">
        <f>VLOOKUP(U24,ASIGNATURAS!$F$1:$L$1022, 4, FALSE)</f>
        <v>Arquitectura de Computadores</v>
      </c>
      <c r="D24" s="1023"/>
      <c r="E24" s="1023"/>
      <c r="F24" s="1023"/>
      <c r="G24" s="1023"/>
      <c r="H24" s="1023"/>
      <c r="I24" s="1023"/>
      <c r="J24" s="1023"/>
      <c r="K24" s="1023"/>
      <c r="L24" s="1023"/>
      <c r="M24" s="1023"/>
      <c r="N24" s="1023"/>
      <c r="O24" s="1023"/>
      <c r="P24" s="1023"/>
      <c r="Q24" s="1023"/>
      <c r="R24" s="1748"/>
      <c r="S24" s="1748"/>
      <c r="T24" s="1024"/>
      <c r="U24" s="1295">
        <v>8810</v>
      </c>
      <c r="V24" s="1296"/>
      <c r="W24" s="1295">
        <f>VLOOKUP(U24,ASIGNATURAS!$F$1:$L$1022, 5, FALSE)</f>
        <v>6</v>
      </c>
      <c r="X24" s="1322"/>
      <c r="Y24" s="1322"/>
      <c r="Z24" s="1296"/>
      <c r="AA24" s="1022" t="str">
        <f>VLOOKUP(U24,ASIGNATURAS!$F$1:$L$1022, 6, FALSE)</f>
        <v>César Represa Pérez, Ana Serna</v>
      </c>
      <c r="AB24" s="1022"/>
      <c r="AC24" s="1022"/>
      <c r="AD24" s="1023"/>
      <c r="AE24" s="1023"/>
      <c r="AF24" s="1023"/>
      <c r="AG24" s="1023"/>
      <c r="AH24" s="1023"/>
      <c r="AI24" s="1023"/>
      <c r="AJ24" s="1023"/>
      <c r="AK24" s="1023"/>
      <c r="AL24" s="1023"/>
      <c r="AM24" s="1023"/>
      <c r="AN24" s="1023"/>
      <c r="AO24" s="1023"/>
      <c r="AP24" s="1023"/>
      <c r="AQ24" s="1023"/>
      <c r="AR24" s="1023"/>
      <c r="AS24" s="1023"/>
      <c r="AT24" s="1023"/>
      <c r="AU24" s="1023"/>
      <c r="AV24" s="1023"/>
      <c r="AW24" s="1023"/>
      <c r="AX24" s="1023"/>
      <c r="AY24" s="1024"/>
    </row>
    <row r="27" spans="1:51" ht="24" customHeight="1" x14ac:dyDescent="0.25">
      <c r="A27" s="1145" t="s">
        <v>1204</v>
      </c>
      <c r="B27" s="1145"/>
      <c r="C27" s="1145"/>
      <c r="D27" s="1145"/>
      <c r="E27" s="1145"/>
      <c r="F27" s="1145"/>
      <c r="G27" s="1145"/>
      <c r="H27" s="270"/>
      <c r="I27" s="270"/>
    </row>
    <row r="28" spans="1:51" ht="24" customHeight="1" x14ac:dyDescent="0.25">
      <c r="A28" s="1148" t="s">
        <v>1205</v>
      </c>
      <c r="B28" s="1148"/>
      <c r="C28" s="1148"/>
      <c r="D28" s="1148"/>
      <c r="E28" s="1148"/>
      <c r="F28" s="1148"/>
      <c r="G28" s="1148"/>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1135" t="str">
        <f>VLOOKUP(A37,ASIGNATURAS!$A$2:$D$151, 3, FALSE)</f>
        <v>2º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7"/>
      <c r="AP34" s="1064" t="str">
        <f>AP1</f>
        <v>Curso 2024-2025</v>
      </c>
      <c r="AQ34" s="1065"/>
      <c r="AR34" s="1065"/>
      <c r="AS34" s="1065"/>
      <c r="AT34" s="1065"/>
      <c r="AU34" s="1065"/>
      <c r="AV34" s="1065"/>
      <c r="AW34" s="1065"/>
      <c r="AX34" s="1065"/>
      <c r="AY34" s="1066"/>
    </row>
    <row r="35" spans="1:80" s="8" customFormat="1" ht="23.25" customHeight="1" thickBot="1" x14ac:dyDescent="0.45">
      <c r="A35" s="1132" t="str">
        <f>VLOOKUP(A37,ASIGNATURAS!$A$2:$D$151, 2, FALSE)</f>
        <v>Semestre temporal: 2º        (4º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2514" t="s">
        <v>149</v>
      </c>
      <c r="AQ35" s="2514"/>
      <c r="AR35" s="2514"/>
      <c r="AS35" s="2514"/>
      <c r="AT35" s="2514"/>
      <c r="AU35" s="2514"/>
      <c r="AV35" s="2514"/>
      <c r="AW35" s="2514"/>
      <c r="AX35" s="2514"/>
      <c r="AY35" s="2515"/>
    </row>
    <row r="36" spans="1:80" s="8" customFormat="1" ht="23.25" customHeight="1" thickBot="1" x14ac:dyDescent="0.45">
      <c r="A36" s="1132" t="s">
        <v>177</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4"/>
      <c r="AP36" s="2516"/>
      <c r="AQ36" s="2516"/>
      <c r="AR36" s="2516"/>
      <c r="AS36" s="2516"/>
      <c r="AT36" s="2516"/>
      <c r="AU36" s="2516"/>
      <c r="AV36" s="2516"/>
      <c r="AW36" s="2516"/>
      <c r="AX36" s="2516"/>
      <c r="AY36" s="2517"/>
    </row>
    <row r="37" spans="1:80" ht="38.25" customHeight="1" thickBot="1" x14ac:dyDescent="0.3">
      <c r="A37" s="9" t="s">
        <v>69</v>
      </c>
    </row>
    <row r="38" spans="1:80" s="2" customFormat="1" ht="24" customHeight="1" thickBot="1" x14ac:dyDescent="0.3">
      <c r="A38" s="19" t="s">
        <v>1</v>
      </c>
      <c r="B38" s="975" t="s">
        <v>2</v>
      </c>
      <c r="C38" s="976"/>
      <c r="D38" s="976"/>
      <c r="E38" s="976"/>
      <c r="F38" s="976"/>
      <c r="G38" s="976"/>
      <c r="H38" s="976"/>
      <c r="I38" s="976"/>
      <c r="J38" s="976"/>
      <c r="K38" s="977"/>
      <c r="L38" s="975" t="s">
        <v>3</v>
      </c>
      <c r="M38" s="976"/>
      <c r="N38" s="976"/>
      <c r="O38" s="976"/>
      <c r="P38" s="976"/>
      <c r="Q38" s="976"/>
      <c r="R38" s="976"/>
      <c r="S38" s="976"/>
      <c r="T38" s="976"/>
      <c r="U38" s="977"/>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row>
    <row r="39" spans="1:80" ht="42.75" customHeight="1" x14ac:dyDescent="0.25">
      <c r="A39" s="2522" t="s">
        <v>1091</v>
      </c>
      <c r="B39" s="471"/>
      <c r="C39" s="2356"/>
      <c r="D39" s="95" t="s">
        <v>570</v>
      </c>
      <c r="E39" s="2373" t="s">
        <v>567</v>
      </c>
      <c r="F39" s="69"/>
      <c r="G39" s="2390"/>
      <c r="H39" s="213" t="s">
        <v>573</v>
      </c>
      <c r="I39" s="2378" t="s">
        <v>735</v>
      </c>
      <c r="J39" s="113"/>
      <c r="K39" s="2521"/>
      <c r="L39" s="547" t="s">
        <v>569</v>
      </c>
      <c r="M39" s="2373" t="s">
        <v>146</v>
      </c>
      <c r="N39" s="869"/>
      <c r="O39" s="2472"/>
      <c r="Q39" s="736"/>
      <c r="R39" s="900" t="s">
        <v>573</v>
      </c>
      <c r="S39" s="2377" t="s">
        <v>567</v>
      </c>
      <c r="T39" s="213" t="s">
        <v>574</v>
      </c>
      <c r="U39" s="2533" t="s">
        <v>734</v>
      </c>
      <c r="V39" s="94" t="s">
        <v>569</v>
      </c>
      <c r="W39" s="2372" t="s">
        <v>735</v>
      </c>
      <c r="X39" s="378" t="s">
        <v>570</v>
      </c>
      <c r="Y39" s="2373" t="s">
        <v>146</v>
      </c>
      <c r="AA39" s="736"/>
      <c r="AB39" s="137"/>
      <c r="AC39" s="2332"/>
      <c r="AD39" s="69"/>
      <c r="AE39" s="2535"/>
      <c r="AG39" s="736"/>
      <c r="AH39" s="889" t="s">
        <v>570</v>
      </c>
      <c r="AI39" s="2549" t="s">
        <v>735</v>
      </c>
      <c r="AL39" s="128" t="s">
        <v>573</v>
      </c>
      <c r="AM39" s="2378" t="s">
        <v>146</v>
      </c>
      <c r="AN39" s="900" t="s">
        <v>574</v>
      </c>
      <c r="AO39" s="2435" t="s">
        <v>567</v>
      </c>
      <c r="AP39" s="378" t="s">
        <v>569</v>
      </c>
      <c r="AQ39" s="2373" t="s">
        <v>567</v>
      </c>
      <c r="AR39" s="888" t="s">
        <v>570</v>
      </c>
      <c r="AS39" s="2372" t="s">
        <v>734</v>
      </c>
      <c r="AT39" s="69"/>
      <c r="AU39" s="2356"/>
      <c r="AV39" s="213" t="s">
        <v>573</v>
      </c>
      <c r="AW39" s="2378" t="s">
        <v>735</v>
      </c>
      <c r="AX39" s="78"/>
      <c r="AY39" s="2535"/>
      <c r="BA39" s="10"/>
      <c r="BB39" s="10"/>
      <c r="BC39" s="10"/>
      <c r="BD39" s="10"/>
      <c r="BE39" s="10"/>
      <c r="BF39" s="10"/>
      <c r="BG39" s="10"/>
      <c r="BH39" s="10"/>
      <c r="BI39" s="10"/>
      <c r="BJ39" s="10"/>
      <c r="BK39" s="10"/>
      <c r="BL39" s="10"/>
    </row>
    <row r="40" spans="1:80" ht="42.75" customHeight="1" x14ac:dyDescent="0.3">
      <c r="A40" s="1550"/>
      <c r="B40" s="1209"/>
      <c r="C40" s="2356"/>
      <c r="D40" s="1190" t="s">
        <v>102</v>
      </c>
      <c r="E40" s="2373"/>
      <c r="F40" s="1360"/>
      <c r="G40" s="2356"/>
      <c r="H40" s="2384" t="s">
        <v>103</v>
      </c>
      <c r="I40" s="2378"/>
      <c r="J40" s="2519"/>
      <c r="K40" s="2521"/>
      <c r="L40" s="1192" t="s">
        <v>1311</v>
      </c>
      <c r="M40" s="2373"/>
      <c r="N40" s="2520"/>
      <c r="O40" s="2473"/>
      <c r="R40" s="2384" t="s">
        <v>102</v>
      </c>
      <c r="S40" s="2378"/>
      <c r="T40" s="2384" t="s">
        <v>103</v>
      </c>
      <c r="U40" s="2534"/>
      <c r="V40" s="1192" t="s">
        <v>103</v>
      </c>
      <c r="W40" s="2373"/>
      <c r="X40" s="1190" t="s">
        <v>1311</v>
      </c>
      <c r="Y40" s="2373"/>
      <c r="AB40" s="2483"/>
      <c r="AC40" s="2332"/>
      <c r="AD40" s="1360"/>
      <c r="AE40" s="2334"/>
      <c r="AH40" s="2551" t="s">
        <v>575</v>
      </c>
      <c r="AI40" s="2550"/>
      <c r="AL40" s="2384" t="s">
        <v>1311</v>
      </c>
      <c r="AM40" s="2378"/>
      <c r="AN40" s="2384" t="s">
        <v>102</v>
      </c>
      <c r="AO40" s="2422"/>
      <c r="AP40" s="1309" t="s">
        <v>102</v>
      </c>
      <c r="AQ40" s="2373"/>
      <c r="AR40" s="1190" t="s">
        <v>103</v>
      </c>
      <c r="AS40" s="2373"/>
      <c r="AT40" s="1360"/>
      <c r="AU40" s="2356"/>
      <c r="AV40" s="2384" t="s">
        <v>575</v>
      </c>
      <c r="AW40" s="2378"/>
      <c r="AX40" s="1263"/>
      <c r="AY40" s="2334"/>
      <c r="BA40" s="2532"/>
      <c r="BB40" s="2532"/>
      <c r="BC40" s="2532"/>
      <c r="BD40" s="2532"/>
      <c r="BE40" s="2532"/>
      <c r="BF40" s="2532"/>
      <c r="BG40" s="2532"/>
      <c r="BH40" s="2532"/>
      <c r="BI40" s="2532"/>
      <c r="BJ40" s="2532"/>
      <c r="BK40" s="10"/>
      <c r="BL40" s="10"/>
    </row>
    <row r="41" spans="1:80" ht="42.75" customHeight="1" x14ac:dyDescent="0.3">
      <c r="A41" s="1100" t="s">
        <v>183</v>
      </c>
      <c r="B41" s="1209"/>
      <c r="C41" s="2356"/>
      <c r="D41" s="1190"/>
      <c r="E41" s="2373"/>
      <c r="F41" s="1360"/>
      <c r="G41" s="2356"/>
      <c r="H41" s="2384"/>
      <c r="I41" s="2378"/>
      <c r="J41" s="2519"/>
      <c r="K41" s="2521"/>
      <c r="L41" s="1192"/>
      <c r="M41" s="2373"/>
      <c r="N41" s="2520"/>
      <c r="O41" s="2473"/>
      <c r="R41" s="2384"/>
      <c r="S41" s="2378"/>
      <c r="T41" s="2384"/>
      <c r="U41" s="2534"/>
      <c r="V41" s="1192"/>
      <c r="W41" s="2373"/>
      <c r="X41" s="1190"/>
      <c r="Y41" s="2373"/>
      <c r="AB41" s="2483"/>
      <c r="AC41" s="2332"/>
      <c r="AD41" s="1360"/>
      <c r="AE41" s="2334"/>
      <c r="AH41" s="2551"/>
      <c r="AI41" s="2550"/>
      <c r="AL41" s="2384"/>
      <c r="AM41" s="2378"/>
      <c r="AN41" s="2384"/>
      <c r="AO41" s="2422"/>
      <c r="AP41" s="1309"/>
      <c r="AQ41" s="2373"/>
      <c r="AR41" s="1190"/>
      <c r="AS41" s="2373"/>
      <c r="AT41" s="1360"/>
      <c r="AU41" s="2356"/>
      <c r="AV41" s="2384"/>
      <c r="AW41" s="2378"/>
      <c r="AX41" s="1263"/>
      <c r="AY41" s="2334"/>
      <c r="BA41" s="2541"/>
      <c r="BB41" s="2541"/>
      <c r="BC41" s="2541"/>
      <c r="BD41" s="2541"/>
      <c r="BE41" s="2541"/>
      <c r="BF41" s="2541"/>
      <c r="BG41" s="2541"/>
      <c r="BH41" s="2541"/>
      <c r="BI41" s="2540"/>
      <c r="BJ41" s="2541"/>
      <c r="BK41" s="10"/>
      <c r="BL41" s="10"/>
    </row>
    <row r="42" spans="1:80" ht="42.75" customHeight="1" thickBot="1" x14ac:dyDescent="0.35">
      <c r="A42" s="1105"/>
      <c r="B42" s="2518"/>
      <c r="C42" s="2357"/>
      <c r="D42" s="1190"/>
      <c r="E42" s="2373"/>
      <c r="F42" s="1360"/>
      <c r="G42" s="2356"/>
      <c r="H42" s="2434"/>
      <c r="I42" s="2461"/>
      <c r="J42" s="2519"/>
      <c r="K42" s="2521"/>
      <c r="L42" s="1192"/>
      <c r="M42" s="2373"/>
      <c r="N42" s="2520"/>
      <c r="O42" s="2473"/>
      <c r="R42" s="2384"/>
      <c r="S42" s="2378"/>
      <c r="T42" s="2384"/>
      <c r="U42" s="2534"/>
      <c r="V42" s="1206"/>
      <c r="W42" s="2373"/>
      <c r="X42" s="1190"/>
      <c r="Y42" s="2373"/>
      <c r="AB42" s="2483"/>
      <c r="AC42" s="2332"/>
      <c r="AD42" s="1360"/>
      <c r="AE42" s="2334"/>
      <c r="AH42" s="2552"/>
      <c r="AI42" s="2550"/>
      <c r="AL42" s="2384"/>
      <c r="AM42" s="2378"/>
      <c r="AN42" s="2384"/>
      <c r="AO42" s="2423"/>
      <c r="AP42" s="2485"/>
      <c r="AQ42" s="2373"/>
      <c r="AR42" s="1190"/>
      <c r="AS42" s="2373"/>
      <c r="AT42" s="1371"/>
      <c r="AU42" s="2356"/>
      <c r="AV42" s="2434"/>
      <c r="AW42" s="2461"/>
      <c r="AX42" s="1685"/>
      <c r="AY42" s="2335"/>
      <c r="BA42" s="2541"/>
      <c r="BB42" s="2541"/>
      <c r="BC42" s="2541"/>
      <c r="BD42" s="2541"/>
      <c r="BE42" s="2541"/>
      <c r="BF42" s="2541"/>
      <c r="BG42" s="2541"/>
      <c r="BH42" s="254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483" t="s">
        <v>182</v>
      </c>
      <c r="B43" s="2508" t="s">
        <v>1311</v>
      </c>
      <c r="C43" s="2509"/>
      <c r="D43" s="2509"/>
      <c r="E43" s="2509"/>
      <c r="F43" s="2509"/>
      <c r="G43" s="2509"/>
      <c r="H43" s="2399" t="s">
        <v>811</v>
      </c>
      <c r="I43" s="2399"/>
      <c r="J43" s="2400"/>
      <c r="K43" s="107">
        <v>1</v>
      </c>
      <c r="L43" s="2382" t="s">
        <v>575</v>
      </c>
      <c r="M43" s="2383"/>
      <c r="N43" s="2383"/>
      <c r="O43" s="2383"/>
      <c r="P43" s="2383"/>
      <c r="Q43" s="2383"/>
      <c r="R43" s="2399" t="s">
        <v>149</v>
      </c>
      <c r="S43" s="2399"/>
      <c r="T43" s="2400"/>
      <c r="U43" s="107">
        <v>1</v>
      </c>
      <c r="V43" s="2382" t="s">
        <v>103</v>
      </c>
      <c r="W43" s="2383"/>
      <c r="X43" s="2383"/>
      <c r="Y43" s="2383"/>
      <c r="Z43" s="2383"/>
      <c r="AA43" s="2383"/>
      <c r="AB43" s="2399" t="s">
        <v>149</v>
      </c>
      <c r="AC43" s="2399"/>
      <c r="AD43" s="2400"/>
      <c r="AE43" s="107">
        <v>1</v>
      </c>
      <c r="AF43" s="2536"/>
      <c r="AG43" s="2537"/>
      <c r="AH43" s="2537"/>
      <c r="AI43" s="2537"/>
      <c r="AJ43" s="2537"/>
      <c r="AK43" s="2537"/>
      <c r="AL43" s="2538"/>
      <c r="AM43" s="2538"/>
      <c r="AN43" s="2539"/>
      <c r="AO43" s="866"/>
      <c r="AP43" s="2382" t="s">
        <v>101</v>
      </c>
      <c r="AQ43" s="2383"/>
      <c r="AR43" s="2383"/>
      <c r="AS43" s="2383"/>
      <c r="AT43" s="2383"/>
      <c r="AU43" s="2383"/>
      <c r="AV43" s="2399" t="s">
        <v>149</v>
      </c>
      <c r="AW43" s="2399"/>
      <c r="AX43" s="2400"/>
      <c r="AY43" s="107">
        <v>1</v>
      </c>
      <c r="BA43" s="10"/>
      <c r="BB43" s="10"/>
      <c r="BC43" s="10"/>
      <c r="BD43" s="10"/>
      <c r="BE43" s="10"/>
      <c r="BF43" s="10"/>
      <c r="BG43" s="10"/>
      <c r="BH43" s="10"/>
      <c r="BI43" s="10"/>
      <c r="BJ43" s="10"/>
      <c r="BK43" s="10"/>
      <c r="BL43" s="10"/>
      <c r="BM43" s="10"/>
      <c r="BN43" s="2067"/>
      <c r="BO43" s="2067"/>
      <c r="BP43" s="2067"/>
      <c r="BQ43" s="2067"/>
      <c r="BR43" s="2067"/>
      <c r="BS43" s="794"/>
      <c r="BT43" s="2531"/>
      <c r="BU43" s="2531"/>
      <c r="BV43" s="2531"/>
      <c r="BW43" s="2531"/>
      <c r="BX43" s="10"/>
      <c r="BY43" s="10"/>
      <c r="BZ43" s="10"/>
      <c r="CA43" s="10"/>
      <c r="CB43" s="10"/>
    </row>
    <row r="44" spans="1:80" ht="42.75" customHeight="1" thickBot="1" x14ac:dyDescent="0.3">
      <c r="A44" s="1486"/>
      <c r="B44" s="2388" t="s">
        <v>1311</v>
      </c>
      <c r="C44" s="2389"/>
      <c r="D44" s="2389"/>
      <c r="E44" s="2389"/>
      <c r="F44" s="2389"/>
      <c r="G44" s="2389"/>
      <c r="H44" s="2386" t="s">
        <v>811</v>
      </c>
      <c r="I44" s="2386"/>
      <c r="J44" s="2387"/>
      <c r="K44" s="890">
        <v>2</v>
      </c>
      <c r="L44" s="2512" t="s">
        <v>575</v>
      </c>
      <c r="M44" s="2513"/>
      <c r="N44" s="2513"/>
      <c r="O44" s="2513"/>
      <c r="P44" s="2513"/>
      <c r="Q44" s="2513"/>
      <c r="R44" s="2386" t="s">
        <v>149</v>
      </c>
      <c r="S44" s="2386"/>
      <c r="T44" s="2387"/>
      <c r="U44" s="890">
        <v>2</v>
      </c>
      <c r="V44" s="2512" t="s">
        <v>103</v>
      </c>
      <c r="W44" s="2513"/>
      <c r="X44" s="2513"/>
      <c r="Y44" s="2513"/>
      <c r="Z44" s="2513"/>
      <c r="AA44" s="2513"/>
      <c r="AB44" s="2386" t="s">
        <v>149</v>
      </c>
      <c r="AC44" s="2386"/>
      <c r="AD44" s="2387"/>
      <c r="AE44" s="890">
        <v>2</v>
      </c>
      <c r="AF44" s="2388" t="s">
        <v>102</v>
      </c>
      <c r="AG44" s="2389"/>
      <c r="AH44" s="2389"/>
      <c r="AI44" s="2389"/>
      <c r="AJ44" s="2389"/>
      <c r="AK44" s="2389"/>
      <c r="AL44" s="2386" t="s">
        <v>147</v>
      </c>
      <c r="AM44" s="2386"/>
      <c r="AN44" s="2387"/>
      <c r="AO44" s="890">
        <v>2</v>
      </c>
      <c r="AP44" s="2512" t="s">
        <v>102</v>
      </c>
      <c r="AQ44" s="2513"/>
      <c r="AR44" s="2513"/>
      <c r="AS44" s="2513"/>
      <c r="AT44" s="2513"/>
      <c r="AU44" s="2513"/>
      <c r="AV44" s="2386" t="s">
        <v>147</v>
      </c>
      <c r="AW44" s="2386"/>
      <c r="AX44" s="2387"/>
      <c r="AY44" s="890">
        <v>2</v>
      </c>
      <c r="BA44" s="250"/>
      <c r="BB44" s="10"/>
      <c r="BC44" s="10"/>
      <c r="BD44" s="10"/>
      <c r="BE44" s="10"/>
      <c r="BF44" s="10"/>
      <c r="BG44" s="10"/>
      <c r="BH44" s="10"/>
      <c r="BI44" s="10"/>
      <c r="BJ44" s="10"/>
      <c r="BK44" s="10"/>
      <c r="BL44" s="10"/>
      <c r="BM44" s="10"/>
      <c r="BN44" s="2067"/>
      <c r="BO44" s="2067"/>
      <c r="BP44" s="2067"/>
      <c r="BQ44" s="2067"/>
      <c r="BR44" s="2067"/>
      <c r="BS44" s="794"/>
      <c r="BT44" s="2531"/>
      <c r="BU44" s="2531"/>
      <c r="BV44" s="2531"/>
      <c r="BW44" s="2531"/>
      <c r="BX44" s="10"/>
      <c r="BY44" s="10"/>
      <c r="BZ44" s="10"/>
      <c r="CA44" s="10"/>
      <c r="CB44" s="10"/>
    </row>
    <row r="45" spans="1:80" ht="42.75" customHeight="1" x14ac:dyDescent="0.3">
      <c r="A45" s="1100" t="s">
        <v>184</v>
      </c>
      <c r="B45" s="2508" t="s">
        <v>1311</v>
      </c>
      <c r="C45" s="2509"/>
      <c r="D45" s="2509"/>
      <c r="E45" s="2509"/>
      <c r="F45" s="2509"/>
      <c r="G45" s="2509"/>
      <c r="H45" s="2399" t="s">
        <v>811</v>
      </c>
      <c r="I45" s="2399"/>
      <c r="J45" s="2400"/>
      <c r="K45" s="107">
        <v>1</v>
      </c>
      <c r="L45" s="2382" t="s">
        <v>103</v>
      </c>
      <c r="M45" s="2383"/>
      <c r="N45" s="2383"/>
      <c r="O45" s="2383"/>
      <c r="P45" s="2383"/>
      <c r="Q45" s="2383"/>
      <c r="R45" s="2399" t="s">
        <v>149</v>
      </c>
      <c r="S45" s="2399"/>
      <c r="T45" s="2400"/>
      <c r="U45" s="107">
        <v>1</v>
      </c>
      <c r="V45" s="2508" t="s">
        <v>575</v>
      </c>
      <c r="W45" s="2509"/>
      <c r="X45" s="2509"/>
      <c r="Y45" s="2509"/>
      <c r="Z45" s="2509"/>
      <c r="AA45" s="2509"/>
      <c r="AB45" s="2399" t="s">
        <v>149</v>
      </c>
      <c r="AC45" s="2399"/>
      <c r="AD45" s="2400"/>
      <c r="AE45" s="107">
        <v>1</v>
      </c>
      <c r="AF45" s="2382" t="s">
        <v>102</v>
      </c>
      <c r="AG45" s="2383"/>
      <c r="AH45" s="2383"/>
      <c r="AI45" s="2383"/>
      <c r="AJ45" s="2383"/>
      <c r="AK45" s="2383"/>
      <c r="AL45" s="2399" t="s">
        <v>149</v>
      </c>
      <c r="AM45" s="2399"/>
      <c r="AN45" s="2400"/>
      <c r="AO45" s="107">
        <v>1</v>
      </c>
      <c r="AP45" s="2382" t="s">
        <v>102</v>
      </c>
      <c r="AQ45" s="2383"/>
      <c r="AR45" s="2383"/>
      <c r="AS45" s="2383"/>
      <c r="AT45" s="2383"/>
      <c r="AU45" s="2383"/>
      <c r="AV45" s="2399" t="s">
        <v>149</v>
      </c>
      <c r="AW45" s="2399"/>
      <c r="AX45" s="2400"/>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105"/>
      <c r="B46" s="2388" t="s">
        <v>1311</v>
      </c>
      <c r="C46" s="2389"/>
      <c r="D46" s="2389"/>
      <c r="E46" s="2389"/>
      <c r="F46" s="2389"/>
      <c r="G46" s="2389"/>
      <c r="H46" s="2386" t="s">
        <v>811</v>
      </c>
      <c r="I46" s="2386"/>
      <c r="J46" s="2387"/>
      <c r="K46" s="890">
        <v>2</v>
      </c>
      <c r="L46" s="2388" t="s">
        <v>103</v>
      </c>
      <c r="M46" s="2389"/>
      <c r="N46" s="2389"/>
      <c r="O46" s="2389"/>
      <c r="P46" s="2389"/>
      <c r="Q46" s="2389"/>
      <c r="R46" s="2386" t="s">
        <v>149</v>
      </c>
      <c r="S46" s="2386"/>
      <c r="T46" s="2387"/>
      <c r="U46" s="890">
        <v>2</v>
      </c>
      <c r="V46" s="2388" t="s">
        <v>575</v>
      </c>
      <c r="W46" s="2389"/>
      <c r="X46" s="2389"/>
      <c r="Y46" s="2389"/>
      <c r="Z46" s="2389"/>
      <c r="AA46" s="2389"/>
      <c r="AB46" s="2386" t="s">
        <v>149</v>
      </c>
      <c r="AC46" s="2386"/>
      <c r="AD46" s="2387"/>
      <c r="AE46" s="890">
        <v>2</v>
      </c>
      <c r="AF46" s="2388" t="s">
        <v>101</v>
      </c>
      <c r="AG46" s="2389"/>
      <c r="AH46" s="2389"/>
      <c r="AI46" s="2389"/>
      <c r="AJ46" s="2389"/>
      <c r="AK46" s="2389"/>
      <c r="AL46" s="2386" t="s">
        <v>147</v>
      </c>
      <c r="AM46" s="2386"/>
      <c r="AN46" s="2387"/>
      <c r="AO46" s="890">
        <v>2</v>
      </c>
      <c r="AP46" s="2388" t="s">
        <v>101</v>
      </c>
      <c r="AQ46" s="2389"/>
      <c r="AR46" s="2389"/>
      <c r="AS46" s="2389"/>
      <c r="AT46" s="2389"/>
      <c r="AU46" s="2389"/>
      <c r="AV46" s="2386" t="s">
        <v>147</v>
      </c>
      <c r="AW46" s="2386"/>
      <c r="AX46" s="2387"/>
      <c r="AY46" s="890">
        <v>2</v>
      </c>
      <c r="BB46" s="10"/>
      <c r="BC46" s="1257"/>
      <c r="BD46" s="1257"/>
      <c r="BE46" s="1257"/>
      <c r="BF46" s="1257"/>
      <c r="BG46" s="1257"/>
      <c r="BH46" s="1257"/>
      <c r="BI46" s="1257"/>
      <c r="BJ46" s="1257"/>
      <c r="BK46" s="1257"/>
      <c r="BL46" s="1257"/>
    </row>
    <row r="47" spans="1:80" ht="42.75" customHeight="1" x14ac:dyDescent="0.3">
      <c r="A47" s="1100" t="s">
        <v>185</v>
      </c>
      <c r="B47" s="547" t="s">
        <v>569</v>
      </c>
      <c r="C47" s="2373" t="s">
        <v>735</v>
      </c>
      <c r="D47" s="760"/>
      <c r="E47" s="698"/>
      <c r="F47" s="698"/>
      <c r="G47" s="698"/>
      <c r="H47" s="698"/>
      <c r="I47" s="698"/>
      <c r="J47" s="698"/>
      <c r="K47" s="699"/>
      <c r="L47" s="666"/>
      <c r="M47" s="425"/>
      <c r="N47" s="31"/>
      <c r="R47" s="213" t="s">
        <v>573</v>
      </c>
      <c r="S47" s="2378" t="s">
        <v>735</v>
      </c>
      <c r="T47" s="711"/>
      <c r="U47" s="2380"/>
      <c r="V47" s="471"/>
      <c r="W47" s="663"/>
      <c r="X47" s="383" t="s">
        <v>570</v>
      </c>
      <c r="Y47" s="2373" t="s">
        <v>735</v>
      </c>
      <c r="AB47" s="261"/>
      <c r="AC47" s="2356"/>
      <c r="AD47" s="69"/>
      <c r="AE47" s="664"/>
      <c r="AF47" s="547" t="s">
        <v>569</v>
      </c>
      <c r="AG47" s="2373" t="s">
        <v>735</v>
      </c>
      <c r="AH47" s="2542"/>
      <c r="AI47" s="2543"/>
      <c r="AJ47" s="69"/>
      <c r="AK47" s="2356"/>
      <c r="AN47" s="213" t="s">
        <v>574</v>
      </c>
      <c r="AO47" s="2378" t="s">
        <v>733</v>
      </c>
      <c r="AP47" s="2545" t="s">
        <v>101</v>
      </c>
      <c r="AQ47" s="2546"/>
      <c r="AR47" s="2546"/>
      <c r="AS47" s="2546"/>
      <c r="AT47" s="2547" t="s">
        <v>149</v>
      </c>
      <c r="AU47" s="2547"/>
      <c r="AV47" s="2548"/>
      <c r="AW47" s="867">
        <v>1</v>
      </c>
      <c r="AX47" s="828" t="s">
        <v>574</v>
      </c>
      <c r="AY47" s="2362" t="s">
        <v>735</v>
      </c>
      <c r="BL47" s="10"/>
    </row>
    <row r="48" spans="1:80" ht="42.75" customHeight="1" x14ac:dyDescent="0.3">
      <c r="A48" s="1105"/>
      <c r="B48" s="1192" t="s">
        <v>101</v>
      </c>
      <c r="C48" s="2373"/>
      <c r="D48" s="698"/>
      <c r="E48" s="698"/>
      <c r="F48" s="698"/>
      <c r="G48" s="698"/>
      <c r="H48" s="698"/>
      <c r="I48" s="698"/>
      <c r="J48" s="698"/>
      <c r="K48" s="699"/>
      <c r="L48" s="408"/>
      <c r="M48" s="79"/>
      <c r="R48" s="2384" t="s">
        <v>101</v>
      </c>
      <c r="S48" s="2378"/>
      <c r="T48" s="1232"/>
      <c r="U48" s="2380"/>
      <c r="V48" s="471"/>
      <c r="W48" s="663"/>
      <c r="X48" s="1190" t="s">
        <v>101</v>
      </c>
      <c r="Y48" s="2373"/>
      <c r="AB48" s="1263"/>
      <c r="AC48" s="2356"/>
      <c r="AD48" s="69"/>
      <c r="AE48" s="664"/>
      <c r="AF48" s="1192" t="s">
        <v>575</v>
      </c>
      <c r="AG48" s="2373"/>
      <c r="AH48" s="1548"/>
      <c r="AI48" s="2168"/>
      <c r="AJ48" s="1360"/>
      <c r="AK48" s="2356"/>
      <c r="AN48" s="2384" t="s">
        <v>101</v>
      </c>
      <c r="AO48" s="2378"/>
      <c r="AP48" s="471"/>
      <c r="AQ48" s="69"/>
      <c r="AR48" s="69"/>
      <c r="AS48" s="69"/>
      <c r="AT48" s="69"/>
      <c r="AU48" s="69"/>
      <c r="AV48" s="69"/>
      <c r="AW48" s="69"/>
      <c r="AX48" s="2347" t="s">
        <v>575</v>
      </c>
      <c r="AY48" s="2362"/>
      <c r="BL48" s="10"/>
    </row>
    <row r="49" spans="1:64" ht="42.75" customHeight="1" x14ac:dyDescent="0.3">
      <c r="A49" s="1483" t="s">
        <v>186</v>
      </c>
      <c r="B49" s="1192"/>
      <c r="C49" s="2373"/>
      <c r="D49" s="698"/>
      <c r="E49" s="698"/>
      <c r="F49" s="698"/>
      <c r="G49" s="698"/>
      <c r="H49" s="698"/>
      <c r="I49" s="698"/>
      <c r="J49" s="698"/>
      <c r="K49" s="699"/>
      <c r="L49" s="494"/>
      <c r="M49" s="20"/>
      <c r="R49" s="2384"/>
      <c r="S49" s="2378"/>
      <c r="T49" s="1232"/>
      <c r="U49" s="2380"/>
      <c r="V49" s="494"/>
      <c r="W49" s="20"/>
      <c r="X49" s="1190"/>
      <c r="Y49" s="2373"/>
      <c r="AB49" s="1263"/>
      <c r="AC49" s="2356"/>
      <c r="AD49" s="250"/>
      <c r="AE49" s="200"/>
      <c r="AF49" s="1192"/>
      <c r="AG49" s="2373"/>
      <c r="AH49" s="1548"/>
      <c r="AI49" s="2168"/>
      <c r="AJ49" s="1360"/>
      <c r="AK49" s="2356"/>
      <c r="AN49" s="2384"/>
      <c r="AO49" s="2378"/>
      <c r="AP49" s="471"/>
      <c r="AQ49" s="69"/>
      <c r="AR49" s="69"/>
      <c r="AS49" s="69"/>
      <c r="AT49" s="69"/>
      <c r="AU49" s="69"/>
      <c r="AV49" s="69"/>
      <c r="AW49" s="69"/>
      <c r="AX49" s="2347"/>
      <c r="AY49" s="2362"/>
      <c r="BB49" s="966"/>
      <c r="BC49" s="966"/>
      <c r="BD49" s="966"/>
      <c r="BE49" s="966"/>
      <c r="BF49" s="966"/>
      <c r="BG49" s="966"/>
      <c r="BH49" s="10"/>
      <c r="BI49" s="10"/>
      <c r="BJ49" s="10"/>
      <c r="BK49" s="10"/>
      <c r="BL49" s="10"/>
    </row>
    <row r="50" spans="1:64" ht="42.75" customHeight="1" thickBot="1" x14ac:dyDescent="0.35">
      <c r="A50" s="1550"/>
      <c r="B50" s="1206"/>
      <c r="C50" s="2428"/>
      <c r="D50" s="700"/>
      <c r="E50" s="700"/>
      <c r="F50" s="700"/>
      <c r="G50" s="700"/>
      <c r="H50" s="700"/>
      <c r="I50" s="700"/>
      <c r="J50" s="700"/>
      <c r="K50" s="701"/>
      <c r="L50" s="665"/>
      <c r="M50" s="414"/>
      <c r="N50" s="35"/>
      <c r="O50" s="35"/>
      <c r="P50" s="35"/>
      <c r="R50" s="2434"/>
      <c r="S50" s="2461"/>
      <c r="T50" s="2554"/>
      <c r="U50" s="2553"/>
      <c r="V50" s="665"/>
      <c r="W50" s="414"/>
      <c r="X50" s="1191"/>
      <c r="Y50" s="2373"/>
      <c r="Z50" s="407"/>
      <c r="AA50" s="220"/>
      <c r="AB50" s="1685"/>
      <c r="AC50" s="2357"/>
      <c r="AD50" s="868"/>
      <c r="AE50" s="495"/>
      <c r="AF50" s="1206"/>
      <c r="AG50" s="2428"/>
      <c r="AH50" s="1549"/>
      <c r="AI50" s="2169"/>
      <c r="AJ50" s="1371"/>
      <c r="AK50" s="2356"/>
      <c r="AN50" s="2434"/>
      <c r="AO50" s="2378"/>
      <c r="AP50" s="853"/>
      <c r="AQ50" s="219"/>
      <c r="AR50" s="219"/>
      <c r="AS50" s="219"/>
      <c r="AT50" s="219"/>
      <c r="AU50" s="219"/>
      <c r="AV50" s="219"/>
      <c r="AW50" s="219"/>
      <c r="AX50" s="2544"/>
      <c r="AY50" s="2363"/>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494" t="s">
        <v>214</v>
      </c>
      <c r="B52" s="2495"/>
      <c r="C52" s="1788" t="s">
        <v>215</v>
      </c>
      <c r="D52" s="1788"/>
      <c r="E52" s="1788"/>
      <c r="F52" s="1788"/>
      <c r="G52" s="1788"/>
      <c r="H52" s="1788"/>
      <c r="I52" s="1788"/>
      <c r="J52" s="1788"/>
      <c r="K52" s="1788"/>
      <c r="L52" s="1788"/>
      <c r="M52" s="1788"/>
      <c r="N52" s="1788"/>
      <c r="O52" s="1788"/>
      <c r="P52" s="1788"/>
      <c r="Q52" s="1788"/>
      <c r="R52" s="1788"/>
      <c r="S52" s="1788"/>
      <c r="T52" s="1789"/>
      <c r="U52" s="2496" t="s">
        <v>319</v>
      </c>
      <c r="V52" s="2497"/>
      <c r="W52" s="2498" t="s">
        <v>139</v>
      </c>
      <c r="X52" s="2499"/>
      <c r="Y52" s="2499"/>
      <c r="Z52" s="2495"/>
      <c r="AA52" s="2500" t="s">
        <v>163</v>
      </c>
      <c r="AB52" s="2500"/>
      <c r="AC52" s="2500"/>
      <c r="AD52" s="2501"/>
      <c r="AE52" s="2501"/>
      <c r="AF52" s="2501"/>
      <c r="AG52" s="2501"/>
      <c r="AH52" s="2501"/>
      <c r="AI52" s="2501"/>
      <c r="AJ52" s="2501"/>
      <c r="AK52" s="2501"/>
      <c r="AL52" s="2501"/>
      <c r="AM52" s="2501"/>
      <c r="AN52" s="2501"/>
      <c r="AO52" s="2501"/>
      <c r="AP52" s="2501"/>
      <c r="AQ52" s="2501"/>
      <c r="AR52" s="2501"/>
      <c r="AS52" s="2501"/>
      <c r="AT52" s="2501"/>
      <c r="AU52" s="2501"/>
      <c r="AV52" s="2501"/>
      <c r="AW52" s="2501"/>
      <c r="AX52" s="2501"/>
      <c r="AY52" s="2502"/>
    </row>
    <row r="53" spans="1:64" ht="13.8" x14ac:dyDescent="0.25">
      <c r="A53" s="2503" t="str">
        <f>VLOOKUP(U53,ASIGNATURAS!$F$1:$L$1022, 3, FALSE)</f>
        <v>EST. DATOS</v>
      </c>
      <c r="B53" s="2504"/>
      <c r="C53" s="2261" t="str">
        <f>VLOOKUP(U53,ASIGNATURAS!$F$1:$L$1022, 4, FALSE)</f>
        <v>Estructuras de Datos</v>
      </c>
      <c r="D53" s="2262"/>
      <c r="E53" s="2262"/>
      <c r="F53" s="2262"/>
      <c r="G53" s="2262"/>
      <c r="H53" s="2262"/>
      <c r="I53" s="2262"/>
      <c r="J53" s="2262"/>
      <c r="K53" s="2262"/>
      <c r="L53" s="2262"/>
      <c r="M53" s="2262"/>
      <c r="N53" s="2262"/>
      <c r="O53" s="2262"/>
      <c r="P53" s="2262"/>
      <c r="Q53" s="2262"/>
      <c r="R53" s="2505"/>
      <c r="S53" s="2505"/>
      <c r="T53" s="2506"/>
      <c r="U53" s="2305">
        <v>8811</v>
      </c>
      <c r="V53" s="2507"/>
      <c r="W53" s="2305">
        <f>VLOOKUP(U53,ASIGNATURAS!$F$1:$L$1022, 5, FALSE)</f>
        <v>6</v>
      </c>
      <c r="X53" s="2306"/>
      <c r="Y53" s="2306"/>
      <c r="Z53" s="2507"/>
      <c r="AA53" s="2261" t="str">
        <f>VLOOKUP(U53,ASIGNATURAS!$F$1:$L$1022, 6, FALSE)</f>
        <v>Bruno Baruque Zanón, Ramón Moreno, Francisco Godoy</v>
      </c>
      <c r="AB53" s="2261"/>
      <c r="AC53" s="2261"/>
      <c r="AD53" s="2262"/>
      <c r="AE53" s="2262"/>
      <c r="AF53" s="2262"/>
      <c r="AG53" s="2262"/>
      <c r="AH53" s="2262"/>
      <c r="AI53" s="2262"/>
      <c r="AJ53" s="2262"/>
      <c r="AK53" s="2262"/>
      <c r="AL53" s="2262"/>
      <c r="AM53" s="2262"/>
      <c r="AN53" s="2262"/>
      <c r="AO53" s="2262"/>
      <c r="AP53" s="2262"/>
      <c r="AQ53" s="2262"/>
      <c r="AR53" s="2262"/>
      <c r="AS53" s="2262"/>
      <c r="AT53" s="2262"/>
      <c r="AU53" s="2262"/>
      <c r="AV53" s="2262"/>
      <c r="AW53" s="2262"/>
      <c r="AX53" s="2262"/>
      <c r="AY53" s="2506"/>
    </row>
    <row r="54" spans="1:64" ht="13.8" x14ac:dyDescent="0.25">
      <c r="A54" s="1188" t="str">
        <f>VLOOKUP(U54,ASIGNATURAS!$F$1:$L$1022, 3, FALSE)</f>
        <v>REDES</v>
      </c>
      <c r="B54" s="1189"/>
      <c r="C54" s="981" t="str">
        <f>VLOOKUP(U54,ASIGNATURAS!$F$1:$L$1022, 4, FALSE)</f>
        <v>Redes</v>
      </c>
      <c r="D54" s="982"/>
      <c r="E54" s="982"/>
      <c r="F54" s="982"/>
      <c r="G54" s="982"/>
      <c r="H54" s="982"/>
      <c r="I54" s="982"/>
      <c r="J54" s="982"/>
      <c r="K54" s="982"/>
      <c r="L54" s="982"/>
      <c r="M54" s="982"/>
      <c r="N54" s="982"/>
      <c r="O54" s="982"/>
      <c r="P54" s="982"/>
      <c r="Q54" s="982"/>
      <c r="R54" s="2006"/>
      <c r="S54" s="2006"/>
      <c r="T54" s="983"/>
      <c r="U54" s="936">
        <v>8812</v>
      </c>
      <c r="V54" s="937"/>
      <c r="W54" s="936">
        <f>VLOOKUP(U54,ASIGNATURAS!$F$1:$L$1022, 5, FALSE)</f>
        <v>6</v>
      </c>
      <c r="X54" s="1205"/>
      <c r="Y54" s="1205"/>
      <c r="Z54" s="937"/>
      <c r="AA54" s="981" t="str">
        <f>VLOOKUP(U54,ASIGNATURAS!$F$1:$L$1022, 6, FALSE)</f>
        <v>Rubén Ruiz, Alejandro Merino</v>
      </c>
      <c r="AB54" s="981"/>
      <c r="AC54" s="981"/>
      <c r="AD54" s="982"/>
      <c r="AE54" s="982"/>
      <c r="AF54" s="982"/>
      <c r="AG54" s="982"/>
      <c r="AH54" s="982"/>
      <c r="AI54" s="982"/>
      <c r="AJ54" s="982"/>
      <c r="AK54" s="982"/>
      <c r="AL54" s="982"/>
      <c r="AM54" s="982"/>
      <c r="AN54" s="982"/>
      <c r="AO54" s="982"/>
      <c r="AP54" s="982"/>
      <c r="AQ54" s="982"/>
      <c r="AR54" s="982"/>
      <c r="AS54" s="982"/>
      <c r="AT54" s="982"/>
      <c r="AU54" s="982"/>
      <c r="AV54" s="982"/>
      <c r="AW54" s="982"/>
      <c r="AX54" s="982"/>
      <c r="AY54" s="983"/>
    </row>
    <row r="55" spans="1:64" ht="14.25" customHeight="1" x14ac:dyDescent="0.25">
      <c r="A55" s="1188" t="str">
        <f>VLOOKUP(U55,ASIGNATURAS!$F$1:$L$1022, 3, FALSE)</f>
        <v>HOMBRE-MAQ.</v>
      </c>
      <c r="B55" s="1189"/>
      <c r="C55" s="981" t="str">
        <f>VLOOKUP(U55,ASIGNATURAS!$F$1:$L$1022, 4, FALSE)</f>
        <v>Interacción Hombre-Máquina</v>
      </c>
      <c r="D55" s="982"/>
      <c r="E55" s="982"/>
      <c r="F55" s="982"/>
      <c r="G55" s="982"/>
      <c r="H55" s="982"/>
      <c r="I55" s="982"/>
      <c r="J55" s="982"/>
      <c r="K55" s="982"/>
      <c r="L55" s="982"/>
      <c r="M55" s="982"/>
      <c r="N55" s="982"/>
      <c r="O55" s="982"/>
      <c r="P55" s="982"/>
      <c r="Q55" s="982"/>
      <c r="R55" s="2006"/>
      <c r="S55" s="2006"/>
      <c r="T55" s="983"/>
      <c r="U55" s="936">
        <v>8813</v>
      </c>
      <c r="V55" s="937"/>
      <c r="W55" s="936">
        <f>VLOOKUP(U55,ASIGNATURAS!$F$1:$L$1022, 5, FALSE)</f>
        <v>6</v>
      </c>
      <c r="X55" s="1205"/>
      <c r="Y55" s="1205"/>
      <c r="Z55" s="937"/>
      <c r="AA55" s="981" t="str">
        <f>VLOOKUP(U55,ASIGNATURAS!$F$1:$L$1022, 6, FALSE)</f>
        <v>Diego Granados</v>
      </c>
      <c r="AB55" s="981"/>
      <c r="AC55" s="981"/>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3"/>
    </row>
    <row r="56" spans="1:64" ht="14.25" customHeight="1" x14ac:dyDescent="0.25">
      <c r="A56" s="1188" t="str">
        <f>VLOOKUP(U56,ASIGNATURAS!$F$1:$L$1022, 3, FALSE)</f>
        <v>ORGANIZACION</v>
      </c>
      <c r="B56" s="1189"/>
      <c r="C56" s="981" t="str">
        <f>VLOOKUP(U56,ASIGNATURAS!$F$1:$L$1022, 4, FALSE)</f>
        <v>Fundamentos de Organización y Gestión de Empresas</v>
      </c>
      <c r="D56" s="982"/>
      <c r="E56" s="982"/>
      <c r="F56" s="982"/>
      <c r="G56" s="982"/>
      <c r="H56" s="982"/>
      <c r="I56" s="982"/>
      <c r="J56" s="982"/>
      <c r="K56" s="982"/>
      <c r="L56" s="982"/>
      <c r="M56" s="982"/>
      <c r="N56" s="982"/>
      <c r="O56" s="982"/>
      <c r="P56" s="982"/>
      <c r="Q56" s="982"/>
      <c r="R56" s="2006"/>
      <c r="S56" s="2006"/>
      <c r="T56" s="983"/>
      <c r="U56" s="936">
        <v>8814</v>
      </c>
      <c r="V56" s="937"/>
      <c r="W56" s="936">
        <f>VLOOKUP(U56,ASIGNATURAS!$F$1:$L$1022, 5, FALSE)</f>
        <v>6</v>
      </c>
      <c r="X56" s="1205"/>
      <c r="Y56" s="1205"/>
      <c r="Z56" s="937"/>
      <c r="AA56" s="981" t="str">
        <f>VLOOKUP(U56,ASIGNATURAS!$F$1:$L$1022, 6, FALSE)</f>
        <v>Mª Teresa Peña Pérez, Santiago Arcos Arcos</v>
      </c>
      <c r="AB56" s="981"/>
      <c r="AC56" s="981"/>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3"/>
    </row>
    <row r="57" spans="1:64" ht="14.4" thickBot="1" x14ac:dyDescent="0.3">
      <c r="A57" s="1201" t="str">
        <f>VLOOKUP(U57,ASIGNATURAS!$F$1:$L$1022, 3, FALSE)</f>
        <v>SISTEMAS</v>
      </c>
      <c r="B57" s="1372"/>
      <c r="C57" s="1022" t="str">
        <f>VLOOKUP(U57,ASIGNATURAS!$F$1:$L$1022, 4, FALSE)</f>
        <v>Análisis y Diseño de Sistemas</v>
      </c>
      <c r="D57" s="1023"/>
      <c r="E57" s="1023"/>
      <c r="F57" s="1023"/>
      <c r="G57" s="1023"/>
      <c r="H57" s="1023"/>
      <c r="I57" s="1023"/>
      <c r="J57" s="1023"/>
      <c r="K57" s="1023"/>
      <c r="L57" s="1023"/>
      <c r="M57" s="1023"/>
      <c r="N57" s="1023"/>
      <c r="O57" s="1023"/>
      <c r="P57" s="1023"/>
      <c r="Q57" s="1023"/>
      <c r="R57" s="1748"/>
      <c r="S57" s="1748"/>
      <c r="T57" s="1024"/>
      <c r="U57" s="1295">
        <v>8815</v>
      </c>
      <c r="V57" s="1296"/>
      <c r="W57" s="1295">
        <f>VLOOKUP(U57,ASIGNATURAS!$F$1:$L$1022, 5, FALSE)</f>
        <v>6</v>
      </c>
      <c r="X57" s="1322"/>
      <c r="Y57" s="1322"/>
      <c r="Z57" s="1296"/>
      <c r="AA57" s="1022" t="str">
        <f>VLOOKUP(U57,ASIGNATURAS!$F$1:$L$1022, 6, FALSE)</f>
        <v>Carlos Cambra, Mª Teresa Vicente, Rubén Lesmes</v>
      </c>
      <c r="AB57" s="1022"/>
      <c r="AC57" s="1022"/>
      <c r="AD57" s="1023"/>
      <c r="AE57" s="1023"/>
      <c r="AF57" s="1023"/>
      <c r="AG57" s="1023"/>
      <c r="AH57" s="1023"/>
      <c r="AI57" s="1023"/>
      <c r="AJ57" s="1023"/>
      <c r="AK57" s="1023"/>
      <c r="AL57" s="1023"/>
      <c r="AM57" s="1023"/>
      <c r="AN57" s="1023"/>
      <c r="AO57" s="1023"/>
      <c r="AP57" s="1023"/>
      <c r="AQ57" s="1023"/>
      <c r="AR57" s="1023"/>
      <c r="AS57" s="1023"/>
      <c r="AT57" s="1023"/>
      <c r="AU57" s="1023"/>
      <c r="AV57" s="1023"/>
      <c r="AW57" s="1023"/>
      <c r="AX57" s="1023"/>
      <c r="AY57" s="1024"/>
    </row>
    <row r="60" spans="1:64" ht="24" customHeight="1" x14ac:dyDescent="0.25">
      <c r="A60" s="1145" t="s">
        <v>1204</v>
      </c>
      <c r="B60" s="1145"/>
      <c r="C60" s="1145"/>
      <c r="D60" s="1145"/>
      <c r="E60" s="1145"/>
      <c r="F60" s="1145"/>
      <c r="G60" s="1145"/>
      <c r="H60" s="270"/>
      <c r="I60" s="270"/>
    </row>
    <row r="61" spans="1:64" ht="24" customHeight="1" x14ac:dyDescent="0.25">
      <c r="A61" s="1148" t="s">
        <v>1206</v>
      </c>
      <c r="B61" s="1148"/>
      <c r="C61" s="1148"/>
      <c r="D61" s="1148"/>
      <c r="E61" s="1148"/>
      <c r="F61" s="1148"/>
      <c r="G61" s="1148"/>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1135" t="str">
        <f>VLOOKUP(A69,ASIGNATURAS!$A$2:$D$151, 3, FALSE)</f>
        <v>3º Grado en Ingeniería Informática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AP1</f>
        <v>Curso 2024-2025</v>
      </c>
      <c r="AQ66" s="1065"/>
      <c r="AR66" s="1065"/>
      <c r="AS66" s="1065"/>
      <c r="AT66" s="1065"/>
      <c r="AU66" s="1065"/>
      <c r="AV66" s="1065"/>
      <c r="AW66" s="1065"/>
      <c r="AX66" s="1065"/>
      <c r="AY66" s="1066"/>
    </row>
    <row r="67" spans="1:51" s="8" customFormat="1" ht="23.25" customHeight="1" thickBot="1" x14ac:dyDescent="0.45">
      <c r="A67" s="1132" t="str">
        <f>VLOOKUP(A69,ASIGNATURAS!$A$2:$D$151, 2, FALSE)</f>
        <v>Semestre temporal: 1º        (5º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1053</v>
      </c>
      <c r="AQ67" s="1013"/>
      <c r="AR67" s="1013"/>
      <c r="AS67" s="1013"/>
      <c r="AT67" s="1013"/>
      <c r="AU67" s="1013"/>
      <c r="AV67" s="1013"/>
      <c r="AW67" s="1013"/>
      <c r="AX67" s="1013"/>
      <c r="AY67" s="1014"/>
    </row>
    <row r="68" spans="1:51" s="8" customFormat="1" ht="23.25" customHeight="1" thickBot="1" x14ac:dyDescent="0.45">
      <c r="A68" s="1132" t="s">
        <v>138</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51" ht="38.25" customHeight="1" thickBot="1" x14ac:dyDescent="0.3">
      <c r="A69" s="9" t="s">
        <v>70</v>
      </c>
    </row>
    <row r="70" spans="1:51" s="2" customFormat="1" ht="24" customHeight="1" thickBot="1" x14ac:dyDescent="0.3">
      <c r="A70" s="19" t="s">
        <v>1</v>
      </c>
      <c r="B70" s="975" t="s">
        <v>2</v>
      </c>
      <c r="C70" s="976"/>
      <c r="D70" s="976"/>
      <c r="E70" s="976"/>
      <c r="F70" s="976"/>
      <c r="G70" s="976"/>
      <c r="H70" s="976"/>
      <c r="I70" s="976"/>
      <c r="J70" s="976"/>
      <c r="K70" s="977"/>
      <c r="L70" s="975" t="s">
        <v>3</v>
      </c>
      <c r="M70" s="976"/>
      <c r="N70" s="976"/>
      <c r="O70" s="976"/>
      <c r="P70" s="976"/>
      <c r="Q70" s="976"/>
      <c r="R70" s="976"/>
      <c r="S70" s="976"/>
      <c r="T70" s="976"/>
      <c r="U70" s="977"/>
      <c r="V70" s="975" t="s">
        <v>135</v>
      </c>
      <c r="W70" s="976"/>
      <c r="X70" s="976"/>
      <c r="Y70" s="976"/>
      <c r="Z70" s="976"/>
      <c r="AA70" s="976"/>
      <c r="AB70" s="976"/>
      <c r="AC70" s="976"/>
      <c r="AD70" s="976"/>
      <c r="AE70" s="977"/>
      <c r="AF70" s="975" t="s">
        <v>4</v>
      </c>
      <c r="AG70" s="976"/>
      <c r="AH70" s="976"/>
      <c r="AI70" s="976"/>
      <c r="AJ70" s="976"/>
      <c r="AK70" s="976"/>
      <c r="AL70" s="976"/>
      <c r="AM70" s="976"/>
      <c r="AN70" s="976"/>
      <c r="AO70" s="977"/>
      <c r="AP70" s="975" t="s">
        <v>5</v>
      </c>
      <c r="AQ70" s="976"/>
      <c r="AR70" s="976"/>
      <c r="AS70" s="976"/>
      <c r="AT70" s="976"/>
      <c r="AU70" s="976"/>
      <c r="AV70" s="976"/>
      <c r="AW70" s="976"/>
      <c r="AX70" s="976"/>
      <c r="AY70" s="977"/>
    </row>
    <row r="71" spans="1:51" ht="39.75" customHeight="1" x14ac:dyDescent="0.25">
      <c r="A71" s="1320" t="s">
        <v>10</v>
      </c>
      <c r="B71" s="378" t="s">
        <v>569</v>
      </c>
      <c r="C71" s="2373" t="s">
        <v>1304</v>
      </c>
      <c r="D71" s="378" t="s">
        <v>570</v>
      </c>
      <c r="E71" s="2372" t="s">
        <v>1236</v>
      </c>
      <c r="F71" s="378" t="s">
        <v>571</v>
      </c>
      <c r="G71" s="2373" t="s">
        <v>735</v>
      </c>
      <c r="H71" s="137"/>
      <c r="I71" s="2332"/>
      <c r="J71" s="69"/>
      <c r="K71" s="2526"/>
      <c r="L71" s="547" t="s">
        <v>569</v>
      </c>
      <c r="M71" s="2373" t="s">
        <v>733</v>
      </c>
      <c r="N71" s="378" t="s">
        <v>570</v>
      </c>
      <c r="O71" s="2373" t="s">
        <v>1304</v>
      </c>
      <c r="P71" s="378" t="s">
        <v>571</v>
      </c>
      <c r="Q71" s="2372" t="s">
        <v>1236</v>
      </c>
      <c r="R71" s="137"/>
      <c r="S71" s="2332"/>
      <c r="T71" s="69"/>
      <c r="U71" s="2526"/>
      <c r="V71" s="547" t="s">
        <v>569</v>
      </c>
      <c r="W71" s="2372" t="s">
        <v>1236</v>
      </c>
      <c r="X71" s="378" t="s">
        <v>570</v>
      </c>
      <c r="Y71" s="2373" t="s">
        <v>735</v>
      </c>
      <c r="Z71" s="378" t="s">
        <v>571</v>
      </c>
      <c r="AA71" s="2373" t="s">
        <v>733</v>
      </c>
      <c r="AB71" s="137"/>
      <c r="AC71" s="2332"/>
      <c r="AD71" s="69"/>
      <c r="AE71" s="2334"/>
      <c r="AF71" s="378" t="s">
        <v>569</v>
      </c>
      <c r="AG71" s="2373" t="s">
        <v>734</v>
      </c>
      <c r="AH71" s="378" t="s">
        <v>570</v>
      </c>
      <c r="AI71" s="2373" t="s">
        <v>733</v>
      </c>
      <c r="AJ71" s="383" t="s">
        <v>571</v>
      </c>
      <c r="AK71" s="2373" t="s">
        <v>735</v>
      </c>
      <c r="AL71" s="378" t="s">
        <v>572</v>
      </c>
      <c r="AM71" s="2372" t="s">
        <v>1236</v>
      </c>
      <c r="AN71" s="69"/>
      <c r="AO71" s="2334"/>
      <c r="AP71" s="378" t="s">
        <v>569</v>
      </c>
      <c r="AQ71" s="2373" t="s">
        <v>733</v>
      </c>
      <c r="AR71" s="378" t="s">
        <v>570</v>
      </c>
      <c r="AS71" s="2373" t="s">
        <v>735</v>
      </c>
      <c r="AT71" s="378" t="s">
        <v>571</v>
      </c>
      <c r="AU71" s="2373" t="s">
        <v>1304</v>
      </c>
      <c r="AV71" s="398"/>
      <c r="AW71" s="398"/>
      <c r="AX71" s="83"/>
      <c r="AY71" s="2535"/>
    </row>
    <row r="72" spans="1:51" ht="39.75" customHeight="1" x14ac:dyDescent="0.25">
      <c r="A72" s="1161"/>
      <c r="B72" s="1192" t="s">
        <v>404</v>
      </c>
      <c r="C72" s="2373"/>
      <c r="D72" s="1190" t="s">
        <v>104</v>
      </c>
      <c r="E72" s="2373"/>
      <c r="F72" s="1190" t="s">
        <v>106</v>
      </c>
      <c r="G72" s="2373"/>
      <c r="H72" s="2352"/>
      <c r="I72" s="2332"/>
      <c r="J72" s="1360"/>
      <c r="K72" s="2526"/>
      <c r="L72" s="1192" t="s">
        <v>105</v>
      </c>
      <c r="M72" s="2373"/>
      <c r="N72" s="1190" t="s">
        <v>404</v>
      </c>
      <c r="O72" s="2373"/>
      <c r="P72" s="1190" t="s">
        <v>104</v>
      </c>
      <c r="Q72" s="2373"/>
      <c r="R72" s="2352"/>
      <c r="S72" s="2332"/>
      <c r="T72" s="1360"/>
      <c r="U72" s="2526"/>
      <c r="V72" s="1192" t="s">
        <v>104</v>
      </c>
      <c r="W72" s="2373"/>
      <c r="X72" s="1190" t="s">
        <v>107</v>
      </c>
      <c r="Y72" s="2373"/>
      <c r="Z72" s="1190" t="s">
        <v>105</v>
      </c>
      <c r="AA72" s="2463"/>
      <c r="AB72" s="2483"/>
      <c r="AC72" s="2332"/>
      <c r="AD72" s="1360"/>
      <c r="AE72" s="2334"/>
      <c r="AF72" s="1309" t="s">
        <v>106</v>
      </c>
      <c r="AG72" s="2373"/>
      <c r="AH72" s="1190" t="s">
        <v>105</v>
      </c>
      <c r="AI72" s="2373"/>
      <c r="AJ72" s="1190" t="s">
        <v>107</v>
      </c>
      <c r="AK72" s="2373"/>
      <c r="AL72" s="1190" t="s">
        <v>104</v>
      </c>
      <c r="AM72" s="2373"/>
      <c r="AN72" s="1360"/>
      <c r="AO72" s="2334"/>
      <c r="AP72" s="1309" t="s">
        <v>107</v>
      </c>
      <c r="AQ72" s="2373"/>
      <c r="AR72" s="1190" t="s">
        <v>106</v>
      </c>
      <c r="AS72" s="2373"/>
      <c r="AT72" s="1190" t="s">
        <v>404</v>
      </c>
      <c r="AU72" s="2373"/>
      <c r="AV72" s="398"/>
      <c r="AW72" s="398"/>
      <c r="AX72" s="1360"/>
      <c r="AY72" s="2334"/>
    </row>
    <row r="73" spans="1:51" ht="39.75" customHeight="1" x14ac:dyDescent="0.25">
      <c r="A73" s="1161" t="s">
        <v>11</v>
      </c>
      <c r="B73" s="1192"/>
      <c r="C73" s="2373"/>
      <c r="D73" s="1190"/>
      <c r="E73" s="2373"/>
      <c r="F73" s="1190"/>
      <c r="G73" s="2373"/>
      <c r="H73" s="2352"/>
      <c r="I73" s="2332"/>
      <c r="J73" s="1360"/>
      <c r="K73" s="2526"/>
      <c r="L73" s="1192"/>
      <c r="M73" s="2373"/>
      <c r="N73" s="1190"/>
      <c r="O73" s="2373"/>
      <c r="P73" s="1190"/>
      <c r="Q73" s="2373"/>
      <c r="R73" s="2352"/>
      <c r="S73" s="2332"/>
      <c r="T73" s="1360"/>
      <c r="U73" s="2526"/>
      <c r="V73" s="1192"/>
      <c r="W73" s="2373"/>
      <c r="X73" s="1190"/>
      <c r="Y73" s="2373"/>
      <c r="Z73" s="1190"/>
      <c r="AA73" s="2463"/>
      <c r="AB73" s="2483"/>
      <c r="AC73" s="2332"/>
      <c r="AD73" s="1360"/>
      <c r="AE73" s="2334"/>
      <c r="AF73" s="1309"/>
      <c r="AG73" s="2373"/>
      <c r="AH73" s="1190"/>
      <c r="AI73" s="2373"/>
      <c r="AJ73" s="1190"/>
      <c r="AK73" s="2373"/>
      <c r="AL73" s="1190"/>
      <c r="AM73" s="2373"/>
      <c r="AN73" s="1360"/>
      <c r="AO73" s="2334"/>
      <c r="AP73" s="1309"/>
      <c r="AQ73" s="2373"/>
      <c r="AR73" s="1190"/>
      <c r="AS73" s="2373"/>
      <c r="AT73" s="1190"/>
      <c r="AU73" s="2373"/>
      <c r="AV73" s="398"/>
      <c r="AW73" s="398"/>
      <c r="AX73" s="1360"/>
      <c r="AY73" s="2334"/>
    </row>
    <row r="74" spans="1:51" ht="39.75" customHeight="1" thickBot="1" x14ac:dyDescent="0.3">
      <c r="A74" s="1161"/>
      <c r="B74" s="1192"/>
      <c r="C74" s="2373"/>
      <c r="D74" s="1191"/>
      <c r="E74" s="2374"/>
      <c r="F74" s="1190"/>
      <c r="G74" s="2373"/>
      <c r="H74" s="2352"/>
      <c r="I74" s="2332"/>
      <c r="J74" s="1360"/>
      <c r="K74" s="2526"/>
      <c r="L74" s="1192"/>
      <c r="M74" s="2373"/>
      <c r="N74" s="1190"/>
      <c r="O74" s="2373"/>
      <c r="P74" s="1190"/>
      <c r="Q74" s="2374"/>
      <c r="R74" s="2352"/>
      <c r="S74" s="2332"/>
      <c r="T74" s="1360"/>
      <c r="U74" s="2526"/>
      <c r="V74" s="1192"/>
      <c r="W74" s="2374"/>
      <c r="X74" s="1190"/>
      <c r="Y74" s="2373"/>
      <c r="Z74" s="1190"/>
      <c r="AA74" s="2463"/>
      <c r="AB74" s="2484"/>
      <c r="AC74" s="2332"/>
      <c r="AD74" s="1360"/>
      <c r="AE74" s="2334"/>
      <c r="AF74" s="1309"/>
      <c r="AG74" s="2373"/>
      <c r="AH74" s="1190"/>
      <c r="AI74" s="2373"/>
      <c r="AJ74" s="1191"/>
      <c r="AK74" s="2428"/>
      <c r="AL74" s="1191"/>
      <c r="AM74" s="2374"/>
      <c r="AN74" s="1360"/>
      <c r="AO74" s="2334"/>
      <c r="AP74" s="1309"/>
      <c r="AQ74" s="2373"/>
      <c r="AR74" s="1190"/>
      <c r="AS74" s="2373"/>
      <c r="AT74" s="1190"/>
      <c r="AU74" s="2373"/>
      <c r="AV74" s="398"/>
      <c r="AW74" s="674"/>
      <c r="AX74" s="1360"/>
      <c r="AY74" s="2335"/>
    </row>
    <row r="75" spans="1:51" ht="39.75" customHeight="1" x14ac:dyDescent="0.3">
      <c r="A75" s="1161" t="s">
        <v>6</v>
      </c>
      <c r="B75" s="2523" t="s">
        <v>104</v>
      </c>
      <c r="C75" s="2524"/>
      <c r="D75" s="2524"/>
      <c r="E75" s="2524"/>
      <c r="F75" s="2524"/>
      <c r="G75" s="2524"/>
      <c r="H75" s="2524"/>
      <c r="I75" s="2524"/>
      <c r="J75" s="2524"/>
      <c r="K75" s="2525"/>
      <c r="L75" s="2523" t="s">
        <v>107</v>
      </c>
      <c r="M75" s="2524"/>
      <c r="N75" s="2524"/>
      <c r="O75" s="2524"/>
      <c r="P75" s="2524"/>
      <c r="Q75" s="2524"/>
      <c r="R75" s="2524"/>
      <c r="S75" s="2524"/>
      <c r="T75" s="2524"/>
      <c r="U75" s="2525"/>
      <c r="V75" s="2523" t="s">
        <v>104</v>
      </c>
      <c r="W75" s="2524"/>
      <c r="X75" s="2524"/>
      <c r="Y75" s="2524"/>
      <c r="Z75" s="2524"/>
      <c r="AA75" s="2524"/>
      <c r="AB75" s="2524"/>
      <c r="AC75" s="2524"/>
      <c r="AD75" s="2524"/>
      <c r="AE75" s="2525"/>
      <c r="AF75" s="2523" t="s">
        <v>106</v>
      </c>
      <c r="AG75" s="2524"/>
      <c r="AH75" s="2524"/>
      <c r="AI75" s="2524"/>
      <c r="AJ75" s="2524"/>
      <c r="AK75" s="2524"/>
      <c r="AL75" s="2524"/>
      <c r="AM75" s="2524"/>
      <c r="AN75" s="2524"/>
      <c r="AO75" s="2525"/>
      <c r="AP75" s="2523" t="s">
        <v>106</v>
      </c>
      <c r="AQ75" s="2524"/>
      <c r="AR75" s="2524"/>
      <c r="AS75" s="2524"/>
      <c r="AT75" s="2524"/>
      <c r="AU75" s="2524"/>
      <c r="AV75" s="2524"/>
      <c r="AW75" s="2524"/>
      <c r="AX75" s="2524"/>
      <c r="AY75" s="2525"/>
    </row>
    <row r="76" spans="1:51" ht="39.75" customHeight="1" thickBot="1" x14ac:dyDescent="0.3">
      <c r="A76" s="1161"/>
      <c r="B76" s="1823" t="s">
        <v>149</v>
      </c>
      <c r="C76" s="1824"/>
      <c r="D76" s="1824"/>
      <c r="E76" s="1824"/>
      <c r="F76" s="1824"/>
      <c r="G76" s="1824"/>
      <c r="H76" s="1824"/>
      <c r="I76" s="1824"/>
      <c r="J76" s="1824"/>
      <c r="K76" s="1825"/>
      <c r="L76" s="1823" t="s">
        <v>149</v>
      </c>
      <c r="M76" s="1824"/>
      <c r="N76" s="1824"/>
      <c r="O76" s="1824"/>
      <c r="P76" s="1824"/>
      <c r="Q76" s="1824"/>
      <c r="R76" s="1824"/>
      <c r="S76" s="1824"/>
      <c r="T76" s="1824"/>
      <c r="U76" s="1825"/>
      <c r="V76" s="1823" t="s">
        <v>149</v>
      </c>
      <c r="W76" s="1824"/>
      <c r="X76" s="1824"/>
      <c r="Y76" s="1824"/>
      <c r="Z76" s="1824"/>
      <c r="AA76" s="1824"/>
      <c r="AB76" s="1824"/>
      <c r="AC76" s="1824"/>
      <c r="AD76" s="1824"/>
      <c r="AE76" s="1825"/>
      <c r="AF76" s="1823" t="s">
        <v>149</v>
      </c>
      <c r="AG76" s="1824"/>
      <c r="AH76" s="1824"/>
      <c r="AI76" s="1824"/>
      <c r="AJ76" s="1824"/>
      <c r="AK76" s="1824"/>
      <c r="AL76" s="1824"/>
      <c r="AM76" s="1824"/>
      <c r="AN76" s="1824"/>
      <c r="AO76" s="1825"/>
      <c r="AP76" s="1823" t="s">
        <v>149</v>
      </c>
      <c r="AQ76" s="1824"/>
      <c r="AR76" s="1824"/>
      <c r="AS76" s="1824"/>
      <c r="AT76" s="1824"/>
      <c r="AU76" s="1824"/>
      <c r="AV76" s="1824"/>
      <c r="AW76" s="1824"/>
      <c r="AX76" s="1824"/>
      <c r="AY76" s="1825"/>
    </row>
    <row r="77" spans="1:51" ht="39.75" customHeight="1" x14ac:dyDescent="0.3">
      <c r="A77" s="1161" t="s">
        <v>7</v>
      </c>
      <c r="B77" s="2523" t="s">
        <v>404</v>
      </c>
      <c r="C77" s="2524"/>
      <c r="D77" s="2524"/>
      <c r="E77" s="2524"/>
      <c r="F77" s="2524"/>
      <c r="G77" s="2524"/>
      <c r="H77" s="2524"/>
      <c r="I77" s="2524"/>
      <c r="J77" s="2524"/>
      <c r="K77" s="2525"/>
      <c r="L77" s="2523" t="s">
        <v>404</v>
      </c>
      <c r="M77" s="2524"/>
      <c r="N77" s="2524"/>
      <c r="O77" s="2524"/>
      <c r="P77" s="2524"/>
      <c r="Q77" s="2524"/>
      <c r="R77" s="2524"/>
      <c r="S77" s="2524"/>
      <c r="T77" s="2524"/>
      <c r="U77" s="2525"/>
      <c r="V77" s="2523" t="s">
        <v>105</v>
      </c>
      <c r="W77" s="2524"/>
      <c r="X77" s="2524"/>
      <c r="Y77" s="2524"/>
      <c r="Z77" s="2524"/>
      <c r="AA77" s="2524"/>
      <c r="AB77" s="2524"/>
      <c r="AC77" s="2524"/>
      <c r="AD77" s="2524"/>
      <c r="AE77" s="2525"/>
      <c r="AF77" s="2523" t="s">
        <v>105</v>
      </c>
      <c r="AG77" s="2524"/>
      <c r="AH77" s="2524"/>
      <c r="AI77" s="2524"/>
      <c r="AJ77" s="2524"/>
      <c r="AK77" s="2524"/>
      <c r="AL77" s="2524"/>
      <c r="AM77" s="2524"/>
      <c r="AN77" s="2524"/>
      <c r="AO77" s="2525"/>
      <c r="AP77" s="2523" t="s">
        <v>107</v>
      </c>
      <c r="AQ77" s="2524"/>
      <c r="AR77" s="2524"/>
      <c r="AS77" s="2524"/>
      <c r="AT77" s="2524"/>
      <c r="AU77" s="2524"/>
      <c r="AV77" s="2524"/>
      <c r="AW77" s="2524"/>
      <c r="AX77" s="2524"/>
      <c r="AY77" s="2525"/>
    </row>
    <row r="78" spans="1:51" ht="39.75" customHeight="1" thickBot="1" x14ac:dyDescent="0.3">
      <c r="A78" s="1161"/>
      <c r="B78" s="1767" t="s">
        <v>149</v>
      </c>
      <c r="C78" s="1768"/>
      <c r="D78" s="1768"/>
      <c r="E78" s="1768"/>
      <c r="F78" s="1768"/>
      <c r="G78" s="1768"/>
      <c r="H78" s="1768"/>
      <c r="I78" s="1768"/>
      <c r="J78" s="1768"/>
      <c r="K78" s="1769"/>
      <c r="L78" s="1767" t="s">
        <v>149</v>
      </c>
      <c r="M78" s="1768"/>
      <c r="N78" s="1768"/>
      <c r="O78" s="1768"/>
      <c r="P78" s="1768"/>
      <c r="Q78" s="1768"/>
      <c r="R78" s="1768"/>
      <c r="S78" s="1768"/>
      <c r="T78" s="1768"/>
      <c r="U78" s="1769"/>
      <c r="V78" s="1767" t="s">
        <v>149</v>
      </c>
      <c r="W78" s="1768"/>
      <c r="X78" s="1768"/>
      <c r="Y78" s="1768"/>
      <c r="Z78" s="1768"/>
      <c r="AA78" s="1768"/>
      <c r="AB78" s="1768"/>
      <c r="AC78" s="1768"/>
      <c r="AD78" s="1768"/>
      <c r="AE78" s="1769"/>
      <c r="AF78" s="1767" t="s">
        <v>149</v>
      </c>
      <c r="AG78" s="1768"/>
      <c r="AH78" s="1768"/>
      <c r="AI78" s="1768"/>
      <c r="AJ78" s="1768"/>
      <c r="AK78" s="1768"/>
      <c r="AL78" s="1768"/>
      <c r="AM78" s="1768"/>
      <c r="AN78" s="1768"/>
      <c r="AO78" s="1769"/>
      <c r="AP78" s="1767" t="s">
        <v>149</v>
      </c>
      <c r="AQ78" s="1768"/>
      <c r="AR78" s="1768"/>
      <c r="AS78" s="1768"/>
      <c r="AT78" s="1768"/>
      <c r="AU78" s="1768"/>
      <c r="AV78" s="1768"/>
      <c r="AW78" s="1768"/>
      <c r="AX78" s="1768"/>
      <c r="AY78" s="1769"/>
    </row>
    <row r="79" spans="1:51" ht="39.75" customHeight="1" x14ac:dyDescent="0.3">
      <c r="A79" s="1321" t="s">
        <v>8</v>
      </c>
      <c r="B79" s="69"/>
      <c r="C79" s="2692"/>
      <c r="D79" s="206"/>
      <c r="E79" s="69"/>
      <c r="F79" s="2526"/>
      <c r="G79" s="206"/>
      <c r="H79" s="206"/>
      <c r="I79" s="206"/>
      <c r="J79" s="206"/>
      <c r="K79" s="207"/>
      <c r="L79" s="205"/>
      <c r="M79" s="206"/>
      <c r="N79" s="206"/>
      <c r="O79" s="206"/>
      <c r="P79" s="206"/>
      <c r="Q79" s="206"/>
      <c r="R79" s="206"/>
      <c r="S79" s="206"/>
      <c r="T79" s="206"/>
      <c r="U79" s="207"/>
      <c r="V79" s="205"/>
      <c r="W79" s="206"/>
      <c r="X79" s="206"/>
      <c r="Y79" s="206"/>
      <c r="Z79" s="206"/>
      <c r="AA79" s="206"/>
      <c r="AB79" s="69"/>
      <c r="AC79" s="2526"/>
      <c r="AD79" s="360"/>
      <c r="AE79" s="361"/>
      <c r="AF79" s="359"/>
      <c r="AG79" s="360"/>
      <c r="AH79" s="360"/>
      <c r="AI79" s="360"/>
      <c r="AJ79" s="673"/>
      <c r="AK79" s="2558"/>
      <c r="AL79" s="672"/>
      <c r="AM79" s="206"/>
      <c r="AN79" s="206"/>
      <c r="AO79" s="207"/>
      <c r="AP79" s="205"/>
      <c r="AQ79" s="206"/>
      <c r="AR79" s="206"/>
      <c r="AS79" s="206"/>
      <c r="AT79" s="206"/>
      <c r="AU79" s="206"/>
      <c r="AV79" s="206"/>
      <c r="AW79" s="206"/>
      <c r="AX79" s="206"/>
      <c r="AY79" s="207"/>
    </row>
    <row r="80" spans="1:51" ht="39.75" customHeight="1" x14ac:dyDescent="0.3">
      <c r="A80" s="1161"/>
      <c r="B80" s="1209"/>
      <c r="C80" s="2526"/>
      <c r="D80" s="206"/>
      <c r="E80" s="1360"/>
      <c r="F80" s="2526"/>
      <c r="G80" s="206"/>
      <c r="H80" s="206"/>
      <c r="I80" s="206"/>
      <c r="J80" s="206"/>
      <c r="K80" s="207"/>
      <c r="L80" s="205"/>
      <c r="M80" s="206"/>
      <c r="N80" s="206"/>
      <c r="O80" s="206"/>
      <c r="P80" s="206"/>
      <c r="Q80" s="206"/>
      <c r="R80" s="206"/>
      <c r="S80" s="206"/>
      <c r="T80" s="206"/>
      <c r="U80" s="207"/>
      <c r="V80" s="205"/>
      <c r="W80" s="206"/>
      <c r="X80" s="206"/>
      <c r="Y80" s="206"/>
      <c r="Z80" s="206"/>
      <c r="AA80" s="206"/>
      <c r="AB80" s="1360"/>
      <c r="AC80" s="2526"/>
      <c r="AD80" s="360"/>
      <c r="AE80" s="361"/>
      <c r="AF80" s="359"/>
      <c r="AG80" s="360"/>
      <c r="AH80" s="360"/>
      <c r="AI80" s="360"/>
      <c r="AJ80" s="2556"/>
      <c r="AK80" s="2559"/>
      <c r="AL80" s="206"/>
      <c r="AM80" s="206"/>
      <c r="AN80" s="206"/>
      <c r="AO80" s="207"/>
      <c r="AP80" s="205"/>
      <c r="AQ80" s="206"/>
      <c r="AR80" s="206"/>
      <c r="AS80" s="206"/>
      <c r="AT80" s="206"/>
      <c r="AU80" s="206"/>
      <c r="AV80" s="206"/>
      <c r="AW80" s="206"/>
      <c r="AX80" s="206"/>
      <c r="AY80" s="207"/>
    </row>
    <row r="81" spans="1:51" ht="39.75" customHeight="1" x14ac:dyDescent="0.3">
      <c r="A81" s="1161" t="s">
        <v>9</v>
      </c>
      <c r="B81" s="1209"/>
      <c r="C81" s="2526"/>
      <c r="D81" s="206"/>
      <c r="E81" s="1360"/>
      <c r="F81" s="2526"/>
      <c r="G81" s="206"/>
      <c r="H81" s="206"/>
      <c r="I81" s="206"/>
      <c r="J81" s="206"/>
      <c r="K81" s="207"/>
      <c r="L81" s="205"/>
      <c r="M81" s="206"/>
      <c r="N81" s="206"/>
      <c r="O81" s="206"/>
      <c r="P81" s="206"/>
      <c r="Q81" s="206"/>
      <c r="R81" s="206"/>
      <c r="S81" s="206"/>
      <c r="T81" s="206"/>
      <c r="U81" s="207"/>
      <c r="V81" s="205"/>
      <c r="W81" s="206"/>
      <c r="X81" s="206"/>
      <c r="Y81" s="206"/>
      <c r="Z81" s="206"/>
      <c r="AA81" s="206"/>
      <c r="AB81" s="1360"/>
      <c r="AC81" s="2526"/>
      <c r="AD81" s="360"/>
      <c r="AE81" s="361"/>
      <c r="AF81" s="359"/>
      <c r="AG81" s="360"/>
      <c r="AH81" s="360"/>
      <c r="AI81" s="360"/>
      <c r="AJ81" s="2556"/>
      <c r="AK81" s="2559"/>
      <c r="AL81" s="206"/>
      <c r="AM81" s="206"/>
      <c r="AN81" s="206"/>
      <c r="AO81" s="207"/>
      <c r="AP81" s="205"/>
      <c r="AQ81" s="206"/>
      <c r="AR81" s="206"/>
      <c r="AS81" s="206"/>
      <c r="AT81" s="206"/>
      <c r="AU81" s="206"/>
      <c r="AV81" s="206"/>
      <c r="AW81" s="206"/>
      <c r="AX81" s="206"/>
      <c r="AY81" s="207"/>
    </row>
    <row r="82" spans="1:51" ht="39.75" customHeight="1" thickBot="1" x14ac:dyDescent="0.35">
      <c r="A82" s="1238"/>
      <c r="B82" s="1209"/>
      <c r="C82" s="2555"/>
      <c r="D82" s="209"/>
      <c r="E82" s="1371"/>
      <c r="F82" s="2555"/>
      <c r="G82" s="209"/>
      <c r="H82" s="209"/>
      <c r="I82" s="209"/>
      <c r="J82" s="209"/>
      <c r="K82" s="210"/>
      <c r="L82" s="208"/>
      <c r="M82" s="209"/>
      <c r="N82" s="209"/>
      <c r="O82" s="209"/>
      <c r="P82" s="209"/>
      <c r="Q82" s="209"/>
      <c r="R82" s="209"/>
      <c r="S82" s="209"/>
      <c r="T82" s="209"/>
      <c r="U82" s="210"/>
      <c r="V82" s="208"/>
      <c r="W82" s="209"/>
      <c r="X82" s="209"/>
      <c r="Y82" s="209"/>
      <c r="Z82" s="209"/>
      <c r="AA82" s="206"/>
      <c r="AB82" s="1371"/>
      <c r="AC82" s="2555"/>
      <c r="AD82" s="411"/>
      <c r="AE82" s="412"/>
      <c r="AF82" s="413"/>
      <c r="AG82" s="411"/>
      <c r="AH82" s="411"/>
      <c r="AI82" s="411"/>
      <c r="AJ82" s="2557"/>
      <c r="AK82" s="2560"/>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494" t="s">
        <v>214</v>
      </c>
      <c r="B84" s="2495"/>
      <c r="C84" s="1788" t="s">
        <v>215</v>
      </c>
      <c r="D84" s="1788"/>
      <c r="E84" s="1788"/>
      <c r="F84" s="1788"/>
      <c r="G84" s="1788"/>
      <c r="H84" s="1788"/>
      <c r="I84" s="1788"/>
      <c r="J84" s="1788"/>
      <c r="K84" s="1788"/>
      <c r="L84" s="1788"/>
      <c r="M84" s="1788"/>
      <c r="N84" s="1788"/>
      <c r="O84" s="1788"/>
      <c r="P84" s="1788"/>
      <c r="Q84" s="1788"/>
      <c r="R84" s="1788"/>
      <c r="S84" s="1788"/>
      <c r="T84" s="1789"/>
      <c r="U84" s="2496" t="s">
        <v>320</v>
      </c>
      <c r="V84" s="2497"/>
      <c r="W84" s="2498" t="s">
        <v>139</v>
      </c>
      <c r="X84" s="2499"/>
      <c r="Y84" s="2499"/>
      <c r="Z84" s="2495"/>
      <c r="AA84" s="2500" t="s">
        <v>163</v>
      </c>
      <c r="AB84" s="2500"/>
      <c r="AC84" s="2500"/>
      <c r="AD84" s="2501"/>
      <c r="AE84" s="2501"/>
      <c r="AF84" s="2501"/>
      <c r="AG84" s="2501"/>
      <c r="AH84" s="2501"/>
      <c r="AI84" s="2501"/>
      <c r="AJ84" s="2501"/>
      <c r="AK84" s="2501"/>
      <c r="AL84" s="2501"/>
      <c r="AM84" s="2501"/>
      <c r="AN84" s="2501"/>
      <c r="AO84" s="2501"/>
      <c r="AP84" s="2501"/>
      <c r="AQ84" s="2501"/>
      <c r="AR84" s="2501"/>
      <c r="AS84" s="2501"/>
      <c r="AT84" s="2501"/>
      <c r="AU84" s="2501"/>
      <c r="AV84" s="2501"/>
      <c r="AW84" s="2501"/>
      <c r="AX84" s="2501"/>
      <c r="AY84" s="2502"/>
    </row>
    <row r="85" spans="1:51" ht="14.25" customHeight="1" x14ac:dyDescent="0.25">
      <c r="A85" s="2503" t="str">
        <f>VLOOKUP(U85,ASIGNATURAS!$F$1:$L$1022, 3, FALSE)</f>
        <v>ARQ. PARALELAS</v>
      </c>
      <c r="B85" s="2504"/>
      <c r="C85" s="2261" t="str">
        <f>VLOOKUP(U85,ASIGNATURAS!$F$1:$L$1022, 4, FALSE)</f>
        <v>Arquitecturas Paralelas</v>
      </c>
      <c r="D85" s="2262"/>
      <c r="E85" s="2262"/>
      <c r="F85" s="2262"/>
      <c r="G85" s="2262"/>
      <c r="H85" s="2262"/>
      <c r="I85" s="2262"/>
      <c r="J85" s="2262"/>
      <c r="K85" s="2262"/>
      <c r="L85" s="2262"/>
      <c r="M85" s="2262"/>
      <c r="N85" s="2262"/>
      <c r="O85" s="2262"/>
      <c r="P85" s="2262"/>
      <c r="Q85" s="2262"/>
      <c r="R85" s="2505"/>
      <c r="S85" s="2505"/>
      <c r="T85" s="2506"/>
      <c r="U85" s="2305">
        <v>8816</v>
      </c>
      <c r="V85" s="2507"/>
      <c r="W85" s="2305">
        <f>VLOOKUP(U85,ASIGNATURAS!$F$1:$L$1022, 5, FALSE)</f>
        <v>6</v>
      </c>
      <c r="X85" s="2306"/>
      <c r="Y85" s="2306"/>
      <c r="Z85" s="2507"/>
      <c r="AA85" s="2261" t="str">
        <f>VLOOKUP(U85,ASIGNATURAS!$F$1:$L$1022, 6, FALSE)</f>
        <v>José Cámara Nebreda, Fernando Rivas</v>
      </c>
      <c r="AB85" s="2261"/>
      <c r="AC85" s="2261"/>
      <c r="AD85" s="2262"/>
      <c r="AE85" s="2262"/>
      <c r="AF85" s="2262"/>
      <c r="AG85" s="2262"/>
      <c r="AH85" s="2262"/>
      <c r="AI85" s="2262"/>
      <c r="AJ85" s="2262"/>
      <c r="AK85" s="2262"/>
      <c r="AL85" s="2262"/>
      <c r="AM85" s="2262"/>
      <c r="AN85" s="2262"/>
      <c r="AO85" s="2262"/>
      <c r="AP85" s="2262"/>
      <c r="AQ85" s="2262"/>
      <c r="AR85" s="2262"/>
      <c r="AS85" s="2262"/>
      <c r="AT85" s="2262"/>
      <c r="AU85" s="2262"/>
      <c r="AV85" s="2262"/>
      <c r="AW85" s="2262"/>
      <c r="AX85" s="2262"/>
      <c r="AY85" s="2506"/>
    </row>
    <row r="86" spans="1:51" ht="13.8" x14ac:dyDescent="0.25">
      <c r="A86" s="1188" t="str">
        <f>VLOOKUP(U86,ASIGNATURAS!$F$1:$L$1022, 3, FALSE)</f>
        <v>SIST. INTELIG.</v>
      </c>
      <c r="B86" s="1189"/>
      <c r="C86" s="981" t="str">
        <f>VLOOKUP(U86,ASIGNATURAS!$F$1:$L$1022, 4, FALSE)</f>
        <v>Sistemas Inteligentes</v>
      </c>
      <c r="D86" s="982"/>
      <c r="E86" s="982"/>
      <c r="F86" s="982"/>
      <c r="G86" s="982"/>
      <c r="H86" s="982"/>
      <c r="I86" s="982"/>
      <c r="J86" s="982"/>
      <c r="K86" s="982"/>
      <c r="L86" s="982"/>
      <c r="M86" s="982"/>
      <c r="N86" s="982"/>
      <c r="O86" s="982"/>
      <c r="P86" s="982"/>
      <c r="Q86" s="982"/>
      <c r="R86" s="2006"/>
      <c r="S86" s="2006"/>
      <c r="T86" s="983"/>
      <c r="U86" s="1156">
        <v>8817</v>
      </c>
      <c r="V86" s="1157"/>
      <c r="W86" s="936">
        <f>VLOOKUP(U86,ASIGNATURAS!$F$1:$L$1022, 5, FALSE)</f>
        <v>6</v>
      </c>
      <c r="X86" s="1205"/>
      <c r="Y86" s="1205"/>
      <c r="Z86" s="937"/>
      <c r="AA86" s="981" t="str">
        <f>VLOOKUP(U86,ASIGNATURAS!$F$1:$L$1022, 6, FALSE)</f>
        <v>César García Osorio, Pedro Latorre Carmona</v>
      </c>
      <c r="AB86" s="981"/>
      <c r="AC86" s="981"/>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3"/>
    </row>
    <row r="87" spans="1:51" ht="14.25" customHeight="1" x14ac:dyDescent="0.25">
      <c r="A87" s="1188" t="str">
        <f>VLOOKUP(U87,ASIGNATURAS!$F$1:$L$1022, 3, FALSE)</f>
        <v>GEST. PROYECTOS</v>
      </c>
      <c r="B87" s="1189"/>
      <c r="C87" s="981" t="str">
        <f>VLOOKUP(U87,ASIGNATURAS!$F$1:$L$1022, 4, FALSE)</f>
        <v>Gestión de Proyectos</v>
      </c>
      <c r="D87" s="982"/>
      <c r="E87" s="982"/>
      <c r="F87" s="982"/>
      <c r="G87" s="982"/>
      <c r="H87" s="982"/>
      <c r="I87" s="982"/>
      <c r="J87" s="982"/>
      <c r="K87" s="982"/>
      <c r="L87" s="982"/>
      <c r="M87" s="982"/>
      <c r="N87" s="982"/>
      <c r="O87" s="982"/>
      <c r="P87" s="982"/>
      <c r="Q87" s="982"/>
      <c r="R87" s="2006"/>
      <c r="S87" s="2006"/>
      <c r="T87" s="983"/>
      <c r="U87" s="936">
        <v>8818</v>
      </c>
      <c r="V87" s="937"/>
      <c r="W87" s="936">
        <f>VLOOKUP(U87,ASIGNATURAS!$F$1:$L$1022, 5, FALSE)</f>
        <v>6</v>
      </c>
      <c r="X87" s="1205"/>
      <c r="Y87" s="1205"/>
      <c r="Z87" s="937"/>
      <c r="AA87" s="981" t="str">
        <f>VLOOKUP(U87,ASIGNATURAS!$F$1:$L$1022, 6, FALSE)</f>
        <v>Jose Manuel Galán, Daniel Urda, Carlos López, Virginia Ahedo</v>
      </c>
      <c r="AB87" s="981"/>
      <c r="AC87" s="981"/>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3"/>
    </row>
    <row r="88" spans="1:51" ht="14.25" customHeight="1" x14ac:dyDescent="0.25">
      <c r="A88" s="1188" t="str">
        <f>VLOOKUP(U88,ASIGNATURAS!$F$1:$L$1022, 3, FALSE)</f>
        <v>SIST. Y REDES</v>
      </c>
      <c r="B88" s="1189"/>
      <c r="C88" s="981" t="str">
        <f>VLOOKUP(U88,ASIGNATURAS!$F$1:$L$1022, 4, FALSE)</f>
        <v>Diseño y Admin. de Sistemas y Redes</v>
      </c>
      <c r="D88" s="982"/>
      <c r="E88" s="982"/>
      <c r="F88" s="982"/>
      <c r="G88" s="982"/>
      <c r="H88" s="982"/>
      <c r="I88" s="982"/>
      <c r="J88" s="982"/>
      <c r="K88" s="982"/>
      <c r="L88" s="982"/>
      <c r="M88" s="982"/>
      <c r="N88" s="982"/>
      <c r="O88" s="982"/>
      <c r="P88" s="982"/>
      <c r="Q88" s="982"/>
      <c r="R88" s="2006"/>
      <c r="S88" s="2006"/>
      <c r="T88" s="983"/>
      <c r="U88" s="936">
        <v>8819</v>
      </c>
      <c r="V88" s="937"/>
      <c r="W88" s="936">
        <f>VLOOKUP(U88,ASIGNATURAS!$F$1:$L$1022, 5, FALSE)</f>
        <v>6</v>
      </c>
      <c r="X88" s="1205"/>
      <c r="Y88" s="1205"/>
      <c r="Z88" s="937"/>
      <c r="AA88" s="981" t="str">
        <f>VLOOKUP(U88,ASIGNATURAS!$F$1:$L$1022, 6, FALSE)</f>
        <v>Jose Manuel Saiz Diez, Ignacio Pardo Aguilar</v>
      </c>
      <c r="AB88" s="981"/>
      <c r="AC88" s="981"/>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3"/>
    </row>
    <row r="89" spans="1:51" ht="15" customHeight="1" thickBot="1" x14ac:dyDescent="0.3">
      <c r="A89" s="1201" t="str">
        <f>VLOOKUP(U89,ASIGNATURAS!$F$1:$L$1022, 3, FALSE)</f>
        <v>PROC. LENGUAJE</v>
      </c>
      <c r="B89" s="1372"/>
      <c r="C89" s="1022" t="str">
        <f>VLOOKUP(U89,ASIGNATURAS!$F$1:$L$1022, 4, FALSE)</f>
        <v>Procesadores del Lenguaje</v>
      </c>
      <c r="D89" s="1023"/>
      <c r="E89" s="1023"/>
      <c r="F89" s="1023"/>
      <c r="G89" s="1023"/>
      <c r="H89" s="1023"/>
      <c r="I89" s="1023"/>
      <c r="J89" s="1023"/>
      <c r="K89" s="1023"/>
      <c r="L89" s="1023"/>
      <c r="M89" s="1023"/>
      <c r="N89" s="1023"/>
      <c r="O89" s="1023"/>
      <c r="P89" s="1023"/>
      <c r="Q89" s="1023"/>
      <c r="R89" s="1748"/>
      <c r="S89" s="1748"/>
      <c r="T89" s="1024"/>
      <c r="U89" s="1295">
        <v>8820</v>
      </c>
      <c r="V89" s="1296"/>
      <c r="W89" s="1295">
        <f>VLOOKUP(U89,ASIGNATURAS!$F$1:$L$1022, 5, FALSE)</f>
        <v>6</v>
      </c>
      <c r="X89" s="1322"/>
      <c r="Y89" s="1322"/>
      <c r="Z89" s="1296"/>
      <c r="AA89" s="1022" t="str">
        <f>VLOOKUP(U89,ASIGNATURAS!$F$1:$L$1022, 6, FALSE)</f>
        <v>César Ignacio García, Álvar Arnaiz González</v>
      </c>
      <c r="AB89" s="1022"/>
      <c r="AC89" s="1022"/>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4"/>
    </row>
    <row r="92" spans="1:51" ht="24" customHeight="1" x14ac:dyDescent="0.25">
      <c r="A92" s="1145" t="s">
        <v>165</v>
      </c>
      <c r="B92" s="1145"/>
      <c r="C92" s="1145"/>
      <c r="D92" s="1145"/>
      <c r="E92" s="1145"/>
      <c r="F92" s="1145"/>
      <c r="G92" s="1145"/>
      <c r="H92" s="270"/>
      <c r="I92" s="270"/>
    </row>
    <row r="93" spans="1:51" ht="24" customHeight="1" x14ac:dyDescent="0.25">
      <c r="A93" s="1148" t="s">
        <v>1010</v>
      </c>
      <c r="B93" s="1148"/>
      <c r="C93" s="1148"/>
      <c r="D93" s="1148"/>
      <c r="E93" s="1148"/>
      <c r="F93" s="1148"/>
      <c r="G93" s="1148"/>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1135" t="str">
        <f>VLOOKUP(A101,ASIGNATURAS!$A$2:$D$151, 3, FALSE)</f>
        <v>3º Grado en Ingeniería Informática</v>
      </c>
      <c r="B98" s="1136"/>
      <c r="C98" s="1136"/>
      <c r="D98" s="1136"/>
      <c r="E98" s="1136"/>
      <c r="F98" s="1136"/>
      <c r="G98" s="1136"/>
      <c r="H98" s="1136"/>
      <c r="I98" s="1136"/>
      <c r="J98" s="1136"/>
      <c r="K98" s="1136"/>
      <c r="L98" s="1136"/>
      <c r="M98" s="1136"/>
      <c r="N98" s="1136"/>
      <c r="O98" s="1136"/>
      <c r="P98" s="1136"/>
      <c r="Q98" s="1136"/>
      <c r="R98" s="1136"/>
      <c r="S98" s="1136"/>
      <c r="T98" s="1136"/>
      <c r="U98" s="1136"/>
      <c r="V98" s="1136"/>
      <c r="W98" s="1136"/>
      <c r="X98" s="1136"/>
      <c r="Y98" s="1136"/>
      <c r="Z98" s="1136"/>
      <c r="AA98" s="1136"/>
      <c r="AB98" s="1136"/>
      <c r="AC98" s="1136"/>
      <c r="AD98" s="1136"/>
      <c r="AE98" s="1136"/>
      <c r="AF98" s="1136"/>
      <c r="AG98" s="1136"/>
      <c r="AH98" s="1136"/>
      <c r="AI98" s="1136"/>
      <c r="AJ98" s="1136"/>
      <c r="AK98" s="1136"/>
      <c r="AL98" s="1136"/>
      <c r="AM98" s="1136"/>
      <c r="AN98" s="1136"/>
      <c r="AO98" s="1137"/>
      <c r="AP98" s="1064" t="str">
        <f>AP1</f>
        <v>Curso 2024-2025</v>
      </c>
      <c r="AQ98" s="1065"/>
      <c r="AR98" s="1065"/>
      <c r="AS98" s="1065"/>
      <c r="AT98" s="1065"/>
      <c r="AU98" s="1065"/>
      <c r="AV98" s="1065"/>
      <c r="AW98" s="1065"/>
      <c r="AX98" s="1065"/>
      <c r="AY98" s="1066"/>
    </row>
    <row r="99" spans="1:58" s="8" customFormat="1" ht="23.25" customHeight="1" thickBot="1" x14ac:dyDescent="0.45">
      <c r="A99" s="1132" t="str">
        <f>VLOOKUP(A101,ASIGNATURAS!$A$2:$D$151, 2, FALSE)</f>
        <v>Semestre temporal: 2º        (6º Semestre Académico)</v>
      </c>
      <c r="B99" s="1133"/>
      <c r="C99" s="1133"/>
      <c r="D99" s="1133"/>
      <c r="E99" s="1133"/>
      <c r="F99" s="1133"/>
      <c r="G99" s="1133"/>
      <c r="H99" s="1133"/>
      <c r="I99" s="1133"/>
      <c r="J99" s="1133"/>
      <c r="K99" s="1133"/>
      <c r="L99" s="1133"/>
      <c r="M99" s="1133"/>
      <c r="N99" s="1133"/>
      <c r="O99" s="1133"/>
      <c r="P99" s="1133"/>
      <c r="Q99" s="1133"/>
      <c r="R99" s="1133"/>
      <c r="S99" s="1133"/>
      <c r="T99" s="1133"/>
      <c r="U99" s="1133"/>
      <c r="V99" s="1133"/>
      <c r="W99" s="1133"/>
      <c r="X99" s="1133"/>
      <c r="Y99" s="1133"/>
      <c r="Z99" s="1133"/>
      <c r="AA99" s="1133"/>
      <c r="AB99" s="1133"/>
      <c r="AC99" s="1133"/>
      <c r="AD99" s="1133"/>
      <c r="AE99" s="1133"/>
      <c r="AF99" s="1133"/>
      <c r="AG99" s="1133"/>
      <c r="AH99" s="1133"/>
      <c r="AI99" s="1133"/>
      <c r="AJ99" s="1133"/>
      <c r="AK99" s="1133"/>
      <c r="AL99" s="1133"/>
      <c r="AM99" s="1133"/>
      <c r="AN99" s="1133"/>
      <c r="AO99" s="1134"/>
      <c r="AP99" s="2561" t="s">
        <v>149</v>
      </c>
      <c r="AQ99" s="2561"/>
      <c r="AR99" s="2561"/>
      <c r="AS99" s="2561"/>
      <c r="AT99" s="2561"/>
      <c r="AU99" s="2561"/>
      <c r="AV99" s="2561"/>
      <c r="AW99" s="2561"/>
      <c r="AX99" s="2561"/>
      <c r="AY99" s="2562"/>
    </row>
    <row r="100" spans="1:58" s="8" customFormat="1" ht="23.25" customHeight="1" thickBot="1" x14ac:dyDescent="0.45">
      <c r="A100" s="1132" t="s">
        <v>138</v>
      </c>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4"/>
      <c r="AP100" s="2563"/>
      <c r="AQ100" s="2563"/>
      <c r="AR100" s="2563"/>
      <c r="AS100" s="2563"/>
      <c r="AT100" s="2563"/>
      <c r="AU100" s="2563"/>
      <c r="AV100" s="2563"/>
      <c r="AW100" s="2563"/>
      <c r="AX100" s="2563"/>
      <c r="AY100" s="2564"/>
    </row>
    <row r="101" spans="1:58" ht="38.25" customHeight="1" thickBot="1" x14ac:dyDescent="0.3">
      <c r="A101" s="9" t="s">
        <v>71</v>
      </c>
    </row>
    <row r="102" spans="1:58" s="2" customFormat="1" ht="24" customHeight="1" thickBot="1" x14ac:dyDescent="0.3">
      <c r="A102" s="19" t="s">
        <v>1</v>
      </c>
      <c r="B102" s="975" t="s">
        <v>2</v>
      </c>
      <c r="C102" s="976"/>
      <c r="D102" s="976"/>
      <c r="E102" s="976"/>
      <c r="F102" s="976"/>
      <c r="G102" s="976"/>
      <c r="H102" s="976"/>
      <c r="I102" s="976"/>
      <c r="J102" s="976"/>
      <c r="K102" s="97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8" ht="38.25" customHeight="1" x14ac:dyDescent="0.25">
      <c r="A103" s="1320" t="s">
        <v>10</v>
      </c>
      <c r="B103" s="378" t="s">
        <v>569</v>
      </c>
      <c r="C103" s="2373" t="s">
        <v>733</v>
      </c>
      <c r="D103" s="378" t="s">
        <v>570</v>
      </c>
      <c r="E103" s="2372" t="s">
        <v>632</v>
      </c>
      <c r="F103" s="378" t="s">
        <v>571</v>
      </c>
      <c r="G103" s="2373" t="s">
        <v>734</v>
      </c>
      <c r="H103" s="653"/>
      <c r="I103" s="653"/>
      <c r="J103" s="654"/>
      <c r="K103" s="32"/>
      <c r="L103" s="378" t="s">
        <v>569</v>
      </c>
      <c r="M103" s="2372" t="s">
        <v>632</v>
      </c>
      <c r="N103" s="78"/>
      <c r="O103" s="2390"/>
      <c r="P103" s="378" t="s">
        <v>571</v>
      </c>
      <c r="Q103" s="1904" t="s">
        <v>733</v>
      </c>
      <c r="R103" s="658"/>
      <c r="S103" s="645"/>
      <c r="T103" s="69"/>
      <c r="U103" s="2535"/>
      <c r="V103" s="378" t="s">
        <v>569</v>
      </c>
      <c r="W103" s="2373" t="s">
        <v>734</v>
      </c>
      <c r="X103" s="378" t="s">
        <v>570</v>
      </c>
      <c r="Y103" s="2373" t="s">
        <v>733</v>
      </c>
      <c r="Z103" s="378" t="s">
        <v>571</v>
      </c>
      <c r="AA103" s="2372" t="s">
        <v>632</v>
      </c>
      <c r="AB103" s="653"/>
      <c r="AC103" s="660"/>
      <c r="AE103" s="37"/>
      <c r="AF103" s="378" t="s">
        <v>569</v>
      </c>
      <c r="AG103" s="1904" t="s">
        <v>733</v>
      </c>
      <c r="AI103" s="736"/>
      <c r="AJ103" s="69"/>
      <c r="AK103" s="2356"/>
      <c r="AL103" s="398"/>
      <c r="AM103" s="661"/>
      <c r="AP103" s="82"/>
      <c r="AQ103" s="2356"/>
      <c r="AR103" s="378" t="s">
        <v>570</v>
      </c>
      <c r="AS103" s="1904" t="s">
        <v>734</v>
      </c>
      <c r="AT103" s="378" t="s">
        <v>571</v>
      </c>
      <c r="AU103" s="2373" t="s">
        <v>733</v>
      </c>
      <c r="AV103" s="653"/>
      <c r="AW103" s="653"/>
      <c r="AX103" s="78"/>
      <c r="AY103" s="2334"/>
    </row>
    <row r="104" spans="1:58" ht="38.25" customHeight="1" x14ac:dyDescent="0.25">
      <c r="A104" s="1321"/>
      <c r="B104" s="1309" t="s">
        <v>111</v>
      </c>
      <c r="C104" s="2373"/>
      <c r="D104" s="1190" t="s">
        <v>110</v>
      </c>
      <c r="E104" s="2373"/>
      <c r="F104" s="1309" t="s">
        <v>108</v>
      </c>
      <c r="G104" s="2373"/>
      <c r="H104" s="653"/>
      <c r="I104" s="655"/>
      <c r="J104" s="10"/>
      <c r="L104" s="1192" t="s">
        <v>110</v>
      </c>
      <c r="M104" s="2373"/>
      <c r="N104" s="1263"/>
      <c r="O104" s="2356"/>
      <c r="P104" s="1289" t="s">
        <v>109</v>
      </c>
      <c r="Q104" s="1811"/>
      <c r="R104" s="658"/>
      <c r="S104" s="658"/>
      <c r="T104" s="1263"/>
      <c r="U104" s="2334"/>
      <c r="V104" s="1190" t="s">
        <v>108</v>
      </c>
      <c r="W104" s="2373"/>
      <c r="X104" s="1190" t="s">
        <v>111</v>
      </c>
      <c r="Y104" s="2373"/>
      <c r="Z104" s="1309" t="s">
        <v>110</v>
      </c>
      <c r="AA104" s="2373"/>
      <c r="AB104" s="653"/>
      <c r="AC104" s="655"/>
      <c r="AF104" s="1192" t="s">
        <v>109</v>
      </c>
      <c r="AG104" s="1811"/>
      <c r="AJ104" s="1263"/>
      <c r="AK104" s="2356"/>
      <c r="AL104" s="398"/>
      <c r="AM104" s="649"/>
      <c r="AP104" s="1209"/>
      <c r="AQ104" s="2356"/>
      <c r="AR104" s="1309" t="s">
        <v>109</v>
      </c>
      <c r="AS104" s="1811"/>
      <c r="AT104" s="1190" t="s">
        <v>111</v>
      </c>
      <c r="AU104" s="2373"/>
      <c r="AV104" s="653"/>
      <c r="AW104" s="653"/>
      <c r="AX104" s="1263"/>
      <c r="AY104" s="2334"/>
      <c r="BA104" s="10"/>
      <c r="BB104" s="10"/>
      <c r="BC104" s="10"/>
      <c r="BD104" s="10"/>
      <c r="BE104" s="10"/>
      <c r="BF104" s="10"/>
    </row>
    <row r="105" spans="1:58" ht="38.25" customHeight="1" x14ac:dyDescent="0.25">
      <c r="A105" s="1321" t="s">
        <v>11</v>
      </c>
      <c r="B105" s="1309"/>
      <c r="C105" s="2373"/>
      <c r="D105" s="1190"/>
      <c r="E105" s="2373"/>
      <c r="F105" s="1309"/>
      <c r="G105" s="2373"/>
      <c r="H105" s="653"/>
      <c r="I105" s="653"/>
      <c r="J105" s="656"/>
      <c r="L105" s="1192"/>
      <c r="M105" s="2373"/>
      <c r="N105" s="1263"/>
      <c r="O105" s="2356"/>
      <c r="P105" s="1289"/>
      <c r="Q105" s="1811"/>
      <c r="R105" s="658"/>
      <c r="S105" s="658"/>
      <c r="T105" s="1263"/>
      <c r="U105" s="2334"/>
      <c r="V105" s="1190"/>
      <c r="W105" s="2373"/>
      <c r="X105" s="1190"/>
      <c r="Y105" s="2373"/>
      <c r="Z105" s="1309"/>
      <c r="AA105" s="2373"/>
      <c r="AB105" s="653"/>
      <c r="AC105" s="655"/>
      <c r="AF105" s="1192"/>
      <c r="AG105" s="1811"/>
      <c r="AJ105" s="1263"/>
      <c r="AK105" s="2356"/>
      <c r="AL105" s="398"/>
      <c r="AM105" s="398"/>
      <c r="AN105" s="279"/>
      <c r="AP105" s="1209"/>
      <c r="AQ105" s="2356"/>
      <c r="AR105" s="1309"/>
      <c r="AS105" s="1811"/>
      <c r="AT105" s="1190"/>
      <c r="AU105" s="2373"/>
      <c r="AV105" s="653"/>
      <c r="AW105" s="653"/>
      <c r="AX105" s="1263"/>
      <c r="AY105" s="2334"/>
      <c r="BA105" s="10"/>
      <c r="BB105" s="69"/>
      <c r="BC105" s="2526"/>
      <c r="BD105" s="10"/>
      <c r="BE105" s="10"/>
      <c r="BF105" s="10"/>
    </row>
    <row r="106" spans="1:58" ht="38.25" customHeight="1" thickBot="1" x14ac:dyDescent="0.3">
      <c r="A106" s="1321"/>
      <c r="B106" s="1309"/>
      <c r="C106" s="2373"/>
      <c r="D106" s="1190"/>
      <c r="E106" s="2428"/>
      <c r="F106" s="1309"/>
      <c r="G106" s="2373"/>
      <c r="H106" s="653"/>
      <c r="I106" s="653"/>
      <c r="J106" s="657"/>
      <c r="L106" s="1206"/>
      <c r="M106" s="2373"/>
      <c r="N106" s="1263"/>
      <c r="O106" s="2356"/>
      <c r="P106" s="1409"/>
      <c r="Q106" s="1812"/>
      <c r="R106" s="659"/>
      <c r="S106" s="659"/>
      <c r="T106" s="1685"/>
      <c r="U106" s="2335"/>
      <c r="V106" s="1190"/>
      <c r="W106" s="2373"/>
      <c r="X106" s="1190"/>
      <c r="Y106" s="2373"/>
      <c r="Z106" s="2485"/>
      <c r="AA106" s="2373"/>
      <c r="AB106" s="653"/>
      <c r="AC106" s="653"/>
      <c r="AD106" s="407"/>
      <c r="AF106" s="1206"/>
      <c r="AG106" s="1812"/>
      <c r="AJ106" s="1685"/>
      <c r="AK106" s="2356"/>
      <c r="AL106" s="398"/>
      <c r="AM106" s="650"/>
      <c r="AP106" s="2518"/>
      <c r="AQ106" s="2356"/>
      <c r="AR106" s="1309"/>
      <c r="AS106" s="1812"/>
      <c r="AT106" s="1190"/>
      <c r="AU106" s="2373"/>
      <c r="AV106" s="653"/>
      <c r="AW106" s="653"/>
      <c r="AX106" s="1685"/>
      <c r="AY106" s="2334"/>
      <c r="BA106" s="10"/>
      <c r="BB106" s="1360"/>
      <c r="BC106" s="2526"/>
      <c r="BD106" s="10"/>
      <c r="BE106" s="10"/>
      <c r="BF106" s="10"/>
    </row>
    <row r="107" spans="1:58" ht="38.25" customHeight="1" x14ac:dyDescent="0.3">
      <c r="A107" s="1161" t="s">
        <v>6</v>
      </c>
      <c r="B107" s="2523" t="s">
        <v>110</v>
      </c>
      <c r="C107" s="2524"/>
      <c r="D107" s="2524"/>
      <c r="E107" s="2524"/>
      <c r="F107" s="2524"/>
      <c r="G107" s="2524"/>
      <c r="H107" s="2524"/>
      <c r="I107" s="2524"/>
      <c r="J107" s="2524"/>
      <c r="K107" s="2525"/>
      <c r="L107" s="2523" t="s">
        <v>110</v>
      </c>
      <c r="M107" s="2524"/>
      <c r="N107" s="2524"/>
      <c r="O107" s="2524"/>
      <c r="P107" s="2524"/>
      <c r="Q107" s="2524"/>
      <c r="R107" s="2524"/>
      <c r="S107" s="2524"/>
      <c r="T107" s="2524"/>
      <c r="U107" s="2525"/>
      <c r="V107" s="2523" t="s">
        <v>111</v>
      </c>
      <c r="W107" s="2524"/>
      <c r="X107" s="2524"/>
      <c r="Y107" s="2524"/>
      <c r="Z107" s="2524"/>
      <c r="AA107" s="2524"/>
      <c r="AB107" s="2524"/>
      <c r="AC107" s="2524"/>
      <c r="AD107" s="2524"/>
      <c r="AE107" s="2525"/>
      <c r="AF107" s="2523" t="s">
        <v>109</v>
      </c>
      <c r="AG107" s="2524"/>
      <c r="AH107" s="2524"/>
      <c r="AI107" s="2524"/>
      <c r="AJ107" s="2524"/>
      <c r="AK107" s="2524"/>
      <c r="AL107" s="2524"/>
      <c r="AM107" s="2524"/>
      <c r="AN107" s="2524"/>
      <c r="AO107" s="2525"/>
      <c r="AP107" s="2523" t="s">
        <v>109</v>
      </c>
      <c r="AQ107" s="2524"/>
      <c r="AR107" s="2524"/>
      <c r="AS107" s="2524"/>
      <c r="AT107" s="2524"/>
      <c r="AU107" s="2524"/>
      <c r="AV107" s="2524"/>
      <c r="AW107" s="2524"/>
      <c r="AX107" s="2524"/>
      <c r="AY107" s="2525"/>
      <c r="BA107" s="10"/>
      <c r="BB107" s="1360"/>
      <c r="BC107" s="2526"/>
      <c r="BD107" s="10"/>
      <c r="BE107" s="10"/>
      <c r="BF107" s="10"/>
    </row>
    <row r="108" spans="1:58" ht="38.25" customHeight="1" thickBot="1" x14ac:dyDescent="0.3">
      <c r="A108" s="1161"/>
      <c r="B108" s="1823" t="s">
        <v>149</v>
      </c>
      <c r="C108" s="1824"/>
      <c r="D108" s="1824"/>
      <c r="E108" s="1824"/>
      <c r="F108" s="1824"/>
      <c r="G108" s="1824"/>
      <c r="H108" s="1824"/>
      <c r="I108" s="1824"/>
      <c r="J108" s="1824"/>
      <c r="K108" s="1825"/>
      <c r="L108" s="1823" t="s">
        <v>149</v>
      </c>
      <c r="M108" s="1824"/>
      <c r="N108" s="1824"/>
      <c r="O108" s="1824"/>
      <c r="P108" s="1824"/>
      <c r="Q108" s="1824"/>
      <c r="R108" s="1824"/>
      <c r="S108" s="1824"/>
      <c r="T108" s="1824"/>
      <c r="U108" s="1825"/>
      <c r="V108" s="1823" t="s">
        <v>149</v>
      </c>
      <c r="W108" s="1824"/>
      <c r="X108" s="1824"/>
      <c r="Y108" s="1824"/>
      <c r="Z108" s="1824"/>
      <c r="AA108" s="1824"/>
      <c r="AB108" s="1824"/>
      <c r="AC108" s="1824"/>
      <c r="AD108" s="1824"/>
      <c r="AE108" s="1825"/>
      <c r="AF108" s="1823" t="s">
        <v>149</v>
      </c>
      <c r="AG108" s="1824"/>
      <c r="AH108" s="1824"/>
      <c r="AI108" s="1824"/>
      <c r="AJ108" s="1824"/>
      <c r="AK108" s="1824"/>
      <c r="AL108" s="1824"/>
      <c r="AM108" s="1824"/>
      <c r="AN108" s="1824"/>
      <c r="AO108" s="1825"/>
      <c r="AP108" s="1823" t="s">
        <v>149</v>
      </c>
      <c r="AQ108" s="1824"/>
      <c r="AR108" s="1824"/>
      <c r="AS108" s="1824"/>
      <c r="AT108" s="1824"/>
      <c r="AU108" s="1824"/>
      <c r="AV108" s="1824"/>
      <c r="AW108" s="1824"/>
      <c r="AX108" s="1824"/>
      <c r="AY108" s="1825"/>
      <c r="BA108" s="10"/>
      <c r="BB108" s="1360"/>
      <c r="BC108" s="2526"/>
      <c r="BD108" s="10"/>
      <c r="BE108" s="10"/>
      <c r="BF108" s="10"/>
    </row>
    <row r="109" spans="1:58" ht="38.25" customHeight="1" x14ac:dyDescent="0.3">
      <c r="A109" s="1161" t="s">
        <v>7</v>
      </c>
      <c r="B109" s="2523" t="s">
        <v>108</v>
      </c>
      <c r="C109" s="2524"/>
      <c r="D109" s="2524"/>
      <c r="E109" s="2524"/>
      <c r="F109" s="2524"/>
      <c r="G109" s="2524"/>
      <c r="H109" s="2524"/>
      <c r="I109" s="2524"/>
      <c r="J109" s="2524"/>
      <c r="K109" s="2525"/>
      <c r="L109" s="2574"/>
      <c r="M109" s="2575"/>
      <c r="N109" s="2575"/>
      <c r="O109" s="2575"/>
      <c r="P109" s="2575"/>
      <c r="Q109" s="2575"/>
      <c r="R109" s="2575"/>
      <c r="S109" s="2575"/>
      <c r="T109" s="2575"/>
      <c r="U109" s="2576"/>
      <c r="V109" s="2523" t="s">
        <v>108</v>
      </c>
      <c r="W109" s="2524"/>
      <c r="X109" s="2524"/>
      <c r="Y109" s="2524"/>
      <c r="Z109" s="2524"/>
      <c r="AA109" s="2524"/>
      <c r="AB109" s="2524"/>
      <c r="AC109" s="2524"/>
      <c r="AD109" s="2524"/>
      <c r="AE109" s="2525"/>
      <c r="AF109" s="2574"/>
      <c r="AG109" s="2575"/>
      <c r="AH109" s="2575"/>
      <c r="AI109" s="2575"/>
      <c r="AJ109" s="2575"/>
      <c r="AK109" s="2575"/>
      <c r="AL109" s="2575"/>
      <c r="AM109" s="2575"/>
      <c r="AN109" s="2575"/>
      <c r="AO109" s="2576"/>
      <c r="AP109" s="2523" t="s">
        <v>111</v>
      </c>
      <c r="AQ109" s="2524"/>
      <c r="AR109" s="2524"/>
      <c r="AS109" s="2524"/>
      <c r="AT109" s="2524"/>
      <c r="AU109" s="2524"/>
      <c r="AV109" s="2524"/>
      <c r="AW109" s="2524"/>
      <c r="AX109" s="2524"/>
      <c r="AY109" s="2525"/>
      <c r="BA109" s="10"/>
      <c r="BB109" s="1360"/>
      <c r="BC109" s="2526"/>
      <c r="BD109" s="10"/>
      <c r="BE109" s="10"/>
      <c r="BF109" s="10"/>
    </row>
    <row r="110" spans="1:58" ht="38.25" customHeight="1" thickBot="1" x14ac:dyDescent="0.3">
      <c r="A110" s="1161"/>
      <c r="B110" s="1767" t="s">
        <v>149</v>
      </c>
      <c r="C110" s="1768"/>
      <c r="D110" s="1768"/>
      <c r="E110" s="1768"/>
      <c r="F110" s="1768"/>
      <c r="G110" s="1768"/>
      <c r="H110" s="1768"/>
      <c r="I110" s="1768"/>
      <c r="J110" s="1768"/>
      <c r="K110" s="1769"/>
      <c r="L110" s="1773"/>
      <c r="M110" s="1774"/>
      <c r="N110" s="1774"/>
      <c r="O110" s="1774"/>
      <c r="P110" s="1774"/>
      <c r="Q110" s="1774"/>
      <c r="R110" s="1774"/>
      <c r="S110" s="1774"/>
      <c r="T110" s="1774"/>
      <c r="U110" s="1775"/>
      <c r="V110" s="1767" t="s">
        <v>149</v>
      </c>
      <c r="W110" s="1768"/>
      <c r="X110" s="1768"/>
      <c r="Y110" s="1768"/>
      <c r="Z110" s="1768"/>
      <c r="AA110" s="1768"/>
      <c r="AB110" s="1768"/>
      <c r="AC110" s="1768"/>
      <c r="AD110" s="1768"/>
      <c r="AE110" s="1769"/>
      <c r="AF110" s="2658"/>
      <c r="AG110" s="2659"/>
      <c r="AH110" s="2659"/>
      <c r="AI110" s="2659"/>
      <c r="AJ110" s="2659"/>
      <c r="AK110" s="2659"/>
      <c r="AL110" s="2659"/>
      <c r="AM110" s="2659"/>
      <c r="AN110" s="2659"/>
      <c r="AO110" s="2660"/>
      <c r="AP110" s="1767" t="s">
        <v>149</v>
      </c>
      <c r="AQ110" s="1768"/>
      <c r="AR110" s="1768"/>
      <c r="AS110" s="1768"/>
      <c r="AT110" s="1768"/>
      <c r="AU110" s="1768"/>
      <c r="AV110" s="1768"/>
      <c r="AW110" s="1768"/>
      <c r="AX110" s="1768"/>
      <c r="AY110" s="1769"/>
      <c r="BA110" s="10"/>
      <c r="BB110" s="1360"/>
      <c r="BC110" s="2526"/>
      <c r="BD110" s="10"/>
      <c r="BE110" s="10"/>
      <c r="BF110" s="10"/>
    </row>
    <row r="111" spans="1:58" ht="38.25" customHeight="1" x14ac:dyDescent="0.3">
      <c r="A111" s="1161" t="s">
        <v>8</v>
      </c>
      <c r="B111" s="2574"/>
      <c r="C111" s="2575"/>
      <c r="D111" s="2575"/>
      <c r="E111" s="2575"/>
      <c r="F111" s="2575"/>
      <c r="G111" s="2575"/>
      <c r="H111" s="2575"/>
      <c r="I111" s="2575"/>
      <c r="J111" s="2575"/>
      <c r="K111" s="2576"/>
      <c r="L111" s="2574"/>
      <c r="M111" s="2575"/>
      <c r="N111" s="2575"/>
      <c r="O111" s="2575"/>
      <c r="P111" s="2575"/>
      <c r="Q111" s="2575"/>
      <c r="R111" s="2575"/>
      <c r="S111" s="2575"/>
      <c r="T111" s="2575"/>
      <c r="U111" s="2576"/>
      <c r="V111" s="872"/>
      <c r="W111" s="882"/>
      <c r="X111" s="378" t="s">
        <v>570</v>
      </c>
      <c r="Y111" s="2373" t="s">
        <v>734</v>
      </c>
      <c r="Z111" s="2707"/>
      <c r="AA111" s="2708"/>
      <c r="AB111" s="2708"/>
      <c r="AC111" s="873"/>
      <c r="AD111" s="873"/>
      <c r="AE111" s="874"/>
      <c r="AF111" s="2574"/>
      <c r="AG111" s="2575"/>
      <c r="AH111" s="2575"/>
      <c r="AI111" s="2575"/>
      <c r="AJ111" s="2575"/>
      <c r="AK111" s="2575"/>
      <c r="AL111" s="2575"/>
      <c r="AM111" s="2575"/>
      <c r="AN111" s="2575"/>
      <c r="AO111" s="2576"/>
      <c r="AP111" s="2574"/>
      <c r="AQ111" s="2575"/>
      <c r="AR111" s="2575"/>
      <c r="AS111" s="2575"/>
      <c r="AT111" s="2575"/>
      <c r="AU111" s="2575"/>
      <c r="AV111" s="2575"/>
      <c r="AW111" s="2575"/>
      <c r="AX111" s="2575"/>
      <c r="AY111" s="2576"/>
      <c r="BA111" s="10"/>
      <c r="BB111" s="1360"/>
      <c r="BC111" s="2526"/>
      <c r="BD111" s="10"/>
      <c r="BE111" s="10"/>
      <c r="BF111" s="10"/>
    </row>
    <row r="112" spans="1:58" ht="38.25" customHeight="1" thickBot="1" x14ac:dyDescent="0.35">
      <c r="A112" s="1161"/>
      <c r="B112" s="2658"/>
      <c r="C112" s="2659"/>
      <c r="D112" s="2659"/>
      <c r="E112" s="2659"/>
      <c r="F112" s="2659"/>
      <c r="G112" s="2659"/>
      <c r="H112" s="2659"/>
      <c r="I112" s="2659"/>
      <c r="J112" s="2659"/>
      <c r="K112" s="2660"/>
      <c r="L112" s="2658"/>
      <c r="M112" s="2659"/>
      <c r="N112" s="2659"/>
      <c r="O112" s="2659"/>
      <c r="P112" s="2659"/>
      <c r="Q112" s="2659"/>
      <c r="R112" s="2659"/>
      <c r="S112" s="2659"/>
      <c r="T112" s="2659"/>
      <c r="U112" s="2660"/>
      <c r="V112" s="666"/>
      <c r="W112" s="425"/>
      <c r="X112" s="1190" t="s">
        <v>108</v>
      </c>
      <c r="Y112" s="2373"/>
      <c r="Z112" s="1713"/>
      <c r="AA112" s="1166"/>
      <c r="AB112" s="1166"/>
      <c r="AC112" s="425"/>
      <c r="AD112" s="425"/>
      <c r="AE112" s="878"/>
      <c r="AF112" s="2658"/>
      <c r="AG112" s="2659"/>
      <c r="AH112" s="2659"/>
      <c r="AI112" s="2659"/>
      <c r="AJ112" s="2659"/>
      <c r="AK112" s="2659"/>
      <c r="AL112" s="2659"/>
      <c r="AM112" s="2659"/>
      <c r="AN112" s="2659"/>
      <c r="AO112" s="2660"/>
      <c r="AP112" s="2658"/>
      <c r="AQ112" s="2659"/>
      <c r="AR112" s="2659"/>
      <c r="AS112" s="2659"/>
      <c r="AT112" s="2659"/>
      <c r="AU112" s="2659"/>
      <c r="AV112" s="2659"/>
      <c r="AW112" s="2659"/>
      <c r="AX112" s="2659"/>
      <c r="AY112" s="2660"/>
      <c r="BA112" s="10"/>
      <c r="BB112" s="1360"/>
      <c r="BC112" s="2526"/>
      <c r="BD112" s="10"/>
      <c r="BE112" s="10"/>
      <c r="BF112" s="10"/>
    </row>
    <row r="113" spans="1:58" ht="38.25" customHeight="1" x14ac:dyDescent="0.3">
      <c r="A113" s="1161" t="s">
        <v>9</v>
      </c>
      <c r="B113" s="2574"/>
      <c r="C113" s="2575"/>
      <c r="D113" s="2575"/>
      <c r="E113" s="2575"/>
      <c r="F113" s="2575"/>
      <c r="G113" s="2575"/>
      <c r="H113" s="2575"/>
      <c r="I113" s="2575"/>
      <c r="J113" s="2575"/>
      <c r="K113" s="2576"/>
      <c r="L113" s="2574"/>
      <c r="M113" s="2575"/>
      <c r="N113" s="2575"/>
      <c r="O113" s="2575"/>
      <c r="P113" s="2575"/>
      <c r="Q113" s="2575"/>
      <c r="R113" s="2575"/>
      <c r="S113" s="2575"/>
      <c r="T113" s="2575"/>
      <c r="U113" s="2576"/>
      <c r="V113" s="666"/>
      <c r="W113" s="425"/>
      <c r="X113" s="1190"/>
      <c r="Y113" s="2373"/>
      <c r="Z113" s="1713"/>
      <c r="AA113" s="1166"/>
      <c r="AB113" s="1166"/>
      <c r="AC113" s="425"/>
      <c r="AD113" s="425"/>
      <c r="AE113" s="878"/>
      <c r="AF113" s="2574"/>
      <c r="AG113" s="2575"/>
      <c r="AH113" s="2575"/>
      <c r="AI113" s="2575"/>
      <c r="AJ113" s="2575"/>
      <c r="AK113" s="2575"/>
      <c r="AL113" s="2575"/>
      <c r="AM113" s="2575"/>
      <c r="AN113" s="2575"/>
      <c r="AO113" s="2576"/>
      <c r="AP113" s="2574"/>
      <c r="AQ113" s="2575"/>
      <c r="AR113" s="2575"/>
      <c r="AS113" s="2575"/>
      <c r="AT113" s="2575"/>
      <c r="AU113" s="2575"/>
      <c r="AV113" s="2575"/>
      <c r="AW113" s="2575"/>
      <c r="AX113" s="2575"/>
      <c r="AY113" s="2576"/>
      <c r="BA113" s="10"/>
      <c r="BB113" s="10"/>
      <c r="BC113" s="10"/>
      <c r="BD113" s="10"/>
      <c r="BE113" s="10"/>
      <c r="BF113" s="10"/>
    </row>
    <row r="114" spans="1:58" ht="38.25" customHeight="1" thickBot="1" x14ac:dyDescent="0.35">
      <c r="A114" s="1161"/>
      <c r="B114" s="1773"/>
      <c r="C114" s="1774"/>
      <c r="D114" s="1774"/>
      <c r="E114" s="1774"/>
      <c r="F114" s="1774"/>
      <c r="G114" s="1774"/>
      <c r="H114" s="1774"/>
      <c r="I114" s="1774"/>
      <c r="J114" s="1774"/>
      <c r="K114" s="1775"/>
      <c r="L114" s="1773"/>
      <c r="M114" s="1774"/>
      <c r="N114" s="1774"/>
      <c r="O114" s="1774"/>
      <c r="P114" s="1774"/>
      <c r="Q114" s="1774"/>
      <c r="R114" s="1774"/>
      <c r="S114" s="1774"/>
      <c r="T114" s="1774"/>
      <c r="U114" s="1775"/>
      <c r="V114" s="879"/>
      <c r="W114" s="880"/>
      <c r="X114" s="1190"/>
      <c r="Y114" s="2373"/>
      <c r="Z114" s="1723"/>
      <c r="AA114" s="1167"/>
      <c r="AB114" s="1167"/>
      <c r="AC114" s="880"/>
      <c r="AD114" s="880"/>
      <c r="AE114" s="881"/>
      <c r="AF114" s="1773"/>
      <c r="AG114" s="1774"/>
      <c r="AH114" s="1774"/>
      <c r="AI114" s="1774"/>
      <c r="AJ114" s="1774"/>
      <c r="AK114" s="1774"/>
      <c r="AL114" s="1774"/>
      <c r="AM114" s="1774"/>
      <c r="AN114" s="1774"/>
      <c r="AO114" s="1775"/>
      <c r="AP114" s="1773"/>
      <c r="AQ114" s="1774"/>
      <c r="AR114" s="1774"/>
      <c r="AS114" s="1774"/>
      <c r="AT114" s="1774"/>
      <c r="AU114" s="1774"/>
      <c r="AV114" s="1774"/>
      <c r="AW114" s="1774"/>
      <c r="AX114" s="1774"/>
      <c r="AY114" s="1775"/>
    </row>
    <row r="115" spans="1:58" s="2" customFormat="1" ht="24" customHeight="1" thickBot="1" x14ac:dyDescent="0.3">
      <c r="A115" s="19" t="s">
        <v>1</v>
      </c>
      <c r="B115" s="975" t="s">
        <v>2</v>
      </c>
      <c r="C115" s="976"/>
      <c r="D115" s="976"/>
      <c r="E115" s="976"/>
      <c r="F115" s="976"/>
      <c r="G115" s="976"/>
      <c r="H115" s="976"/>
      <c r="I115" s="976"/>
      <c r="J115" s="976"/>
      <c r="K115" s="977"/>
      <c r="L115" s="975" t="s">
        <v>3</v>
      </c>
      <c r="M115" s="976"/>
      <c r="N115" s="976"/>
      <c r="O115" s="976"/>
      <c r="P115" s="976"/>
      <c r="Q115" s="976"/>
      <c r="R115" s="976"/>
      <c r="S115" s="976"/>
      <c r="T115" s="976"/>
      <c r="U115" s="977"/>
      <c r="V115" s="975" t="s">
        <v>135</v>
      </c>
      <c r="W115" s="976"/>
      <c r="X115" s="976"/>
      <c r="Y115" s="976"/>
      <c r="Z115" s="976"/>
      <c r="AA115" s="976"/>
      <c r="AB115" s="976"/>
      <c r="AC115" s="976"/>
      <c r="AD115" s="976"/>
      <c r="AE115" s="977"/>
      <c r="AF115" s="975" t="s">
        <v>4</v>
      </c>
      <c r="AG115" s="976"/>
      <c r="AH115" s="976"/>
      <c r="AI115" s="976"/>
      <c r="AJ115" s="976"/>
      <c r="AK115" s="976"/>
      <c r="AL115" s="976"/>
      <c r="AM115" s="976"/>
      <c r="AN115" s="976"/>
      <c r="AO115" s="977"/>
      <c r="AP115" s="975" t="s">
        <v>5</v>
      </c>
      <c r="AQ115" s="976"/>
      <c r="AR115" s="976"/>
      <c r="AS115" s="976"/>
      <c r="AT115" s="976"/>
      <c r="AU115" s="976"/>
      <c r="AV115" s="976"/>
      <c r="AW115" s="976"/>
      <c r="AX115" s="976"/>
      <c r="AY115" s="977"/>
    </row>
    <row r="116" spans="1:58" ht="38.25" customHeight="1" x14ac:dyDescent="0.3">
      <c r="A116" s="1100" t="s">
        <v>1091</v>
      </c>
      <c r="B116" s="2701"/>
      <c r="C116" s="2702"/>
      <c r="D116" s="2702"/>
      <c r="E116" s="2702"/>
      <c r="F116" s="2702"/>
      <c r="G116" s="2702"/>
      <c r="H116" s="2702"/>
      <c r="I116" s="2702"/>
      <c r="J116" s="2702"/>
      <c r="K116" s="2703"/>
      <c r="L116" s="2701"/>
      <c r="M116" s="2702"/>
      <c r="N116" s="2702"/>
      <c r="O116" s="2702"/>
      <c r="P116" s="2702"/>
      <c r="Q116" s="2702"/>
      <c r="R116" s="2702"/>
      <c r="S116" s="2702"/>
      <c r="T116" s="2702"/>
      <c r="U116" s="2703"/>
      <c r="V116" s="2701"/>
      <c r="W116" s="2702"/>
      <c r="X116" s="2702"/>
      <c r="Y116" s="2702"/>
      <c r="Z116" s="2702"/>
      <c r="AA116" s="2702"/>
      <c r="AB116" s="2702"/>
      <c r="AC116" s="2702"/>
      <c r="AD116" s="2702"/>
      <c r="AE116" s="2703"/>
      <c r="AF116" s="2701"/>
      <c r="AG116" s="2702"/>
      <c r="AH116" s="2702"/>
      <c r="AI116" s="2702"/>
      <c r="AJ116" s="2702"/>
      <c r="AK116" s="2702"/>
      <c r="AL116" s="2702"/>
      <c r="AM116" s="2702"/>
      <c r="AN116" s="2702"/>
      <c r="AO116" s="2703"/>
      <c r="AP116" s="2701"/>
      <c r="AQ116" s="2702"/>
      <c r="AR116" s="2702"/>
      <c r="AS116" s="2702"/>
      <c r="AT116" s="2702"/>
      <c r="AU116" s="2702"/>
      <c r="AV116" s="2702"/>
      <c r="AW116" s="2702"/>
      <c r="AX116" s="2702"/>
      <c r="AY116" s="2703"/>
    </row>
    <row r="117" spans="1:58" ht="38.25" customHeight="1" thickBot="1" x14ac:dyDescent="0.3">
      <c r="A117" s="1105"/>
      <c r="B117" s="2704"/>
      <c r="C117" s="2705"/>
      <c r="D117" s="2705"/>
      <c r="E117" s="2705"/>
      <c r="F117" s="2705"/>
      <c r="G117" s="2705"/>
      <c r="H117" s="2705"/>
      <c r="I117" s="2705"/>
      <c r="J117" s="2705"/>
      <c r="K117" s="2706"/>
      <c r="L117" s="2704"/>
      <c r="M117" s="2705"/>
      <c r="N117" s="2705"/>
      <c r="O117" s="2705"/>
      <c r="P117" s="2705"/>
      <c r="Q117" s="2705"/>
      <c r="R117" s="2705"/>
      <c r="S117" s="2705"/>
      <c r="T117" s="2705"/>
      <c r="U117" s="2706"/>
      <c r="V117" s="2704"/>
      <c r="W117" s="2705"/>
      <c r="X117" s="2705"/>
      <c r="Y117" s="2705"/>
      <c r="Z117" s="2705"/>
      <c r="AA117" s="2705"/>
      <c r="AB117" s="2705"/>
      <c r="AC117" s="2705"/>
      <c r="AD117" s="2705"/>
      <c r="AE117" s="2706"/>
      <c r="AF117" s="2718"/>
      <c r="AG117" s="2719"/>
      <c r="AH117" s="2719"/>
      <c r="AI117" s="2719"/>
      <c r="AJ117" s="2719"/>
      <c r="AK117" s="2719"/>
      <c r="AL117" s="2719"/>
      <c r="AM117" s="2719"/>
      <c r="AN117" s="2719"/>
      <c r="AO117" s="2720"/>
      <c r="AP117" s="2704"/>
      <c r="AQ117" s="2705"/>
      <c r="AR117" s="2705"/>
      <c r="AS117" s="2705"/>
      <c r="AT117" s="2705"/>
      <c r="AU117" s="2705"/>
      <c r="AV117" s="2705"/>
      <c r="AW117" s="2705"/>
      <c r="AX117" s="2705"/>
      <c r="AY117" s="2706"/>
    </row>
    <row r="118" spans="1:58" ht="38.25" customHeight="1" x14ac:dyDescent="0.3">
      <c r="A118" s="1161"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709" t="s">
        <v>1339</v>
      </c>
      <c r="AG118" s="2710"/>
      <c r="AH118" s="2710"/>
      <c r="AI118" s="2710"/>
      <c r="AJ118" s="2710"/>
      <c r="AK118" s="2710"/>
      <c r="AL118" s="2710"/>
      <c r="AM118" s="2710"/>
      <c r="AN118" s="2710"/>
      <c r="AO118" s="2711"/>
      <c r="AP118" s="475"/>
      <c r="AQ118" s="476"/>
      <c r="AR118" s="476"/>
      <c r="AS118" s="476"/>
      <c r="AT118" s="476"/>
      <c r="AU118" s="476"/>
      <c r="AV118" s="476"/>
      <c r="AW118" s="476"/>
      <c r="AX118" s="476"/>
      <c r="AY118" s="884"/>
    </row>
    <row r="119" spans="1:58" ht="38.25" customHeight="1" thickBot="1" x14ac:dyDescent="0.3">
      <c r="A119" s="1161"/>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715" t="s">
        <v>149</v>
      </c>
      <c r="AG119" s="2716"/>
      <c r="AH119" s="2716"/>
      <c r="AI119" s="2716"/>
      <c r="AJ119" s="2716"/>
      <c r="AK119" s="2716"/>
      <c r="AL119" s="2716"/>
      <c r="AM119" s="2716"/>
      <c r="AN119" s="2716"/>
      <c r="AO119" s="2717"/>
      <c r="AP119" s="475"/>
      <c r="AQ119" s="476"/>
      <c r="AR119" s="476"/>
      <c r="AS119" s="476"/>
      <c r="AT119" s="476"/>
      <c r="AU119" s="476"/>
      <c r="AV119" s="476"/>
      <c r="AW119" s="476"/>
      <c r="AX119" s="476"/>
      <c r="AY119" s="884"/>
    </row>
    <row r="120" spans="1:58" ht="38.25" customHeight="1" x14ac:dyDescent="0.3">
      <c r="A120" s="1161"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709" t="s">
        <v>1339</v>
      </c>
      <c r="AG120" s="2710"/>
      <c r="AH120" s="2710"/>
      <c r="AI120" s="2710"/>
      <c r="AJ120" s="2710"/>
      <c r="AK120" s="2710"/>
      <c r="AL120" s="2710"/>
      <c r="AM120" s="2710"/>
      <c r="AN120" s="2710"/>
      <c r="AO120" s="2711"/>
      <c r="AP120" s="475"/>
      <c r="AQ120" s="476"/>
      <c r="AR120" s="476"/>
      <c r="AS120" s="476"/>
      <c r="AT120" s="476"/>
      <c r="AU120" s="476"/>
      <c r="AV120" s="476"/>
      <c r="AW120" s="476"/>
      <c r="AX120" s="476"/>
      <c r="AY120" s="884"/>
    </row>
    <row r="121" spans="1:58" ht="38.25" customHeight="1" thickBot="1" x14ac:dyDescent="0.3">
      <c r="A121" s="1161"/>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712" t="s">
        <v>149</v>
      </c>
      <c r="AG121" s="2713"/>
      <c r="AH121" s="2713"/>
      <c r="AI121" s="2713"/>
      <c r="AJ121" s="2713"/>
      <c r="AK121" s="2713"/>
      <c r="AL121" s="2713"/>
      <c r="AM121" s="2713"/>
      <c r="AN121" s="2713"/>
      <c r="AO121" s="2714"/>
      <c r="AP121" s="885"/>
      <c r="AQ121" s="886"/>
      <c r="AR121" s="886"/>
      <c r="AS121" s="886"/>
      <c r="AT121" s="886"/>
      <c r="AU121" s="886"/>
      <c r="AV121" s="886"/>
      <c r="AW121" s="886"/>
      <c r="AX121" s="886"/>
      <c r="AY121" s="887"/>
    </row>
    <row r="122" spans="1:58" ht="38.25" customHeight="1" x14ac:dyDescent="0.25">
      <c r="A122" s="1161" t="s">
        <v>184</v>
      </c>
      <c r="B122" s="819" t="s">
        <v>569</v>
      </c>
      <c r="C122" s="2684" t="s">
        <v>557</v>
      </c>
      <c r="D122" s="876"/>
      <c r="E122" s="876"/>
      <c r="F122" s="876"/>
      <c r="G122" s="876"/>
      <c r="H122" s="876"/>
      <c r="I122" s="876"/>
      <c r="J122" s="876"/>
      <c r="K122" s="877"/>
      <c r="L122" s="875"/>
      <c r="M122" s="876"/>
      <c r="N122" s="819" t="s">
        <v>570</v>
      </c>
      <c r="O122" s="2684"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684" t="s">
        <v>557</v>
      </c>
      <c r="AL122" s="876"/>
      <c r="AM122" s="876"/>
      <c r="AN122" s="876"/>
      <c r="AO122" s="877"/>
      <c r="AP122" s="875"/>
      <c r="AQ122" s="876"/>
      <c r="AR122" s="876"/>
      <c r="AS122" s="876"/>
      <c r="AT122" s="876"/>
      <c r="AU122" s="876"/>
      <c r="AV122" s="876"/>
      <c r="AW122" s="876"/>
      <c r="AX122" s="876"/>
      <c r="AY122" s="877"/>
    </row>
    <row r="123" spans="1:58" ht="38.25" customHeight="1" x14ac:dyDescent="0.25">
      <c r="A123" s="1161"/>
      <c r="B123" s="1305" t="s">
        <v>1339</v>
      </c>
      <c r="C123" s="2367"/>
      <c r="D123" s="876"/>
      <c r="E123" s="876"/>
      <c r="F123" s="876"/>
      <c r="G123" s="876"/>
      <c r="H123" s="876"/>
      <c r="I123" s="876"/>
      <c r="J123" s="876"/>
      <c r="K123" s="877"/>
      <c r="L123" s="875"/>
      <c r="M123" s="876"/>
      <c r="N123" s="1305" t="s">
        <v>1339</v>
      </c>
      <c r="O123" s="2367"/>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1305" t="s">
        <v>1339</v>
      </c>
      <c r="AK123" s="2367"/>
      <c r="AL123" s="876"/>
      <c r="AM123" s="876"/>
      <c r="AN123" s="876"/>
      <c r="AO123" s="877"/>
      <c r="AP123" s="875"/>
      <c r="AQ123" s="876"/>
      <c r="AR123" s="876"/>
      <c r="AS123" s="876"/>
      <c r="AT123" s="876"/>
      <c r="AU123" s="876"/>
      <c r="AV123" s="876"/>
      <c r="AW123" s="876"/>
      <c r="AX123" s="876"/>
      <c r="AY123" s="877"/>
    </row>
    <row r="124" spans="1:58" ht="38.25" customHeight="1" x14ac:dyDescent="0.25">
      <c r="A124" s="1161" t="s">
        <v>185</v>
      </c>
      <c r="B124" s="1305"/>
      <c r="C124" s="2367"/>
      <c r="D124" s="876"/>
      <c r="E124" s="876"/>
      <c r="F124" s="876"/>
      <c r="G124" s="876"/>
      <c r="H124" s="876"/>
      <c r="I124" s="876"/>
      <c r="J124" s="876"/>
      <c r="K124" s="877"/>
      <c r="L124" s="875"/>
      <c r="M124" s="876"/>
      <c r="N124" s="1305"/>
      <c r="O124" s="2367"/>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1305"/>
      <c r="AK124" s="2367"/>
      <c r="AL124" s="876"/>
      <c r="AM124" s="876"/>
      <c r="AN124" s="876"/>
      <c r="AO124" s="877"/>
      <c r="AP124" s="875"/>
      <c r="AQ124" s="876"/>
      <c r="AR124" s="876"/>
      <c r="AS124" s="876"/>
      <c r="AT124" s="876"/>
      <c r="AU124" s="876"/>
      <c r="AV124" s="876"/>
      <c r="AW124" s="876"/>
      <c r="AX124" s="876"/>
      <c r="AY124" s="877"/>
    </row>
    <row r="125" spans="1:58" ht="38.25" customHeight="1" thickBot="1" x14ac:dyDescent="0.3">
      <c r="A125" s="1161"/>
      <c r="B125" s="1306"/>
      <c r="C125" s="2367"/>
      <c r="D125" s="883"/>
      <c r="E125" s="876"/>
      <c r="F125" s="876"/>
      <c r="G125" s="876"/>
      <c r="H125" s="876"/>
      <c r="I125" s="876"/>
      <c r="J125" s="876"/>
      <c r="K125" s="877"/>
      <c r="L125" s="875"/>
      <c r="M125" s="876"/>
      <c r="N125" s="1305"/>
      <c r="O125" s="2367"/>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1306"/>
      <c r="AK125" s="2367"/>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699" t="s">
        <v>214</v>
      </c>
      <c r="B127" s="2699"/>
      <c r="C127" s="2699" t="s">
        <v>215</v>
      </c>
      <c r="D127" s="2699"/>
      <c r="E127" s="2699"/>
      <c r="F127" s="2699"/>
      <c r="G127" s="2699"/>
      <c r="H127" s="2699"/>
      <c r="I127" s="2699"/>
      <c r="J127" s="2699"/>
      <c r="K127" s="2699"/>
      <c r="L127" s="2699"/>
      <c r="M127" s="2699"/>
      <c r="N127" s="2699"/>
      <c r="O127" s="2699"/>
      <c r="P127" s="2699"/>
      <c r="Q127" s="2699"/>
      <c r="R127" s="2699"/>
      <c r="S127" s="2699"/>
      <c r="T127" s="2699"/>
      <c r="U127" s="2700" t="s">
        <v>321</v>
      </c>
      <c r="V127" s="2700"/>
      <c r="W127" s="2699" t="s">
        <v>139</v>
      </c>
      <c r="X127" s="2699"/>
      <c r="Y127" s="2699"/>
      <c r="Z127" s="2699"/>
      <c r="AA127" s="2683" t="s">
        <v>163</v>
      </c>
      <c r="AB127" s="2683"/>
      <c r="AC127" s="2683"/>
      <c r="AD127" s="2683"/>
      <c r="AE127" s="2683"/>
      <c r="AF127" s="2683"/>
      <c r="AG127" s="2683"/>
      <c r="AH127" s="2683"/>
      <c r="AI127" s="2683"/>
      <c r="AJ127" s="2683"/>
      <c r="AK127" s="2683"/>
      <c r="AL127" s="2683"/>
      <c r="AM127" s="2683"/>
      <c r="AN127" s="2683"/>
      <c r="AO127" s="2683"/>
      <c r="AP127" s="2683"/>
      <c r="AQ127" s="2683"/>
      <c r="AR127" s="2683"/>
      <c r="AS127" s="2683"/>
      <c r="AT127" s="2683"/>
      <c r="AU127" s="2683"/>
      <c r="AV127" s="2683"/>
      <c r="AW127" s="2683"/>
      <c r="AX127" s="2683"/>
      <c r="AY127" s="2683"/>
    </row>
    <row r="128" spans="1:58" ht="14.25" customHeight="1" x14ac:dyDescent="0.25">
      <c r="A128" s="1203" t="str">
        <f>VLOOKUP(U128,ASIGNATURAS!$F$1:$L$1022, 3, FALSE)</f>
        <v>ALGORITMIA</v>
      </c>
      <c r="B128" s="1203"/>
      <c r="C128" s="982" t="str">
        <f>VLOOKUP(U128,ASIGNATURAS!$F$1:$L$1022, 4, FALSE)</f>
        <v>Algorítmia</v>
      </c>
      <c r="D128" s="982"/>
      <c r="E128" s="982"/>
      <c r="F128" s="982"/>
      <c r="G128" s="982"/>
      <c r="H128" s="982"/>
      <c r="I128" s="982"/>
      <c r="J128" s="982"/>
      <c r="K128" s="982"/>
      <c r="L128" s="982"/>
      <c r="M128" s="982"/>
      <c r="N128" s="982"/>
      <c r="O128" s="982"/>
      <c r="P128" s="982"/>
      <c r="Q128" s="982"/>
      <c r="R128" s="982"/>
      <c r="S128" s="982"/>
      <c r="T128" s="982"/>
      <c r="U128" s="1205">
        <v>8824</v>
      </c>
      <c r="V128" s="1205"/>
      <c r="W128" s="1205">
        <f>VLOOKUP(U128,ASIGNATURAS!$F$1:$L$1022, 5, FALSE)</f>
        <v>6</v>
      </c>
      <c r="X128" s="1205"/>
      <c r="Y128" s="1205"/>
      <c r="Z128" s="1205"/>
      <c r="AA128" s="982" t="str">
        <f>VLOOKUP(U128,ASIGNATURAS!$F$1:$L$1022, 6, FALSE)</f>
        <v>Juan José Rodríguez Diez</v>
      </c>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row>
    <row r="129" spans="1:65" ht="13.8" x14ac:dyDescent="0.25">
      <c r="A129" s="1203" t="str">
        <f>VLOOKUP(U129,ASIGNATURAS!$F$1:$L$1022, 3, FALSE)</f>
        <v>APL. BASES DAT.</v>
      </c>
      <c r="B129" s="1203"/>
      <c r="C129" s="982" t="str">
        <f>VLOOKUP(U129,ASIGNATURAS!$F$1:$L$1022, 4, FALSE)</f>
        <v>Aplicaciones de Bases de Datos</v>
      </c>
      <c r="D129" s="982"/>
      <c r="E129" s="982"/>
      <c r="F129" s="982"/>
      <c r="G129" s="982"/>
      <c r="H129" s="982"/>
      <c r="I129" s="982"/>
      <c r="J129" s="982"/>
      <c r="K129" s="982"/>
      <c r="L129" s="982"/>
      <c r="M129" s="982"/>
      <c r="N129" s="982"/>
      <c r="O129" s="982"/>
      <c r="P129" s="982"/>
      <c r="Q129" s="982"/>
      <c r="R129" s="982"/>
      <c r="S129" s="982"/>
      <c r="T129" s="982"/>
      <c r="U129" s="1205">
        <v>8823</v>
      </c>
      <c r="V129" s="1205"/>
      <c r="W129" s="1205">
        <f>VLOOKUP(U129,ASIGNATURAS!$F$1:$L$1022, 5, FALSE)</f>
        <v>6</v>
      </c>
      <c r="X129" s="1205"/>
      <c r="Y129" s="1205"/>
      <c r="Z129" s="1205"/>
      <c r="AA129" s="982" t="str">
        <f>VLOOKUP(U129,ASIGNATURAS!$F$1:$L$1022, 6, FALSE)</f>
        <v>Jesús Manuel Maudes Raedo</v>
      </c>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row>
    <row r="130" spans="1:65" ht="14.25" customHeight="1" x14ac:dyDescent="0.25">
      <c r="A130" s="1203" t="str">
        <f>VLOOKUP(U130,ASIGNATURAS!$F$1:$L$1022, 3, FALSE)</f>
        <v>METODOS NUM.</v>
      </c>
      <c r="B130" s="1203"/>
      <c r="C130" s="982" t="str">
        <f>VLOOKUP(U130,ASIGNATURAS!$F$1:$L$1022, 4, FALSE)</f>
        <v>Métodos Numéricos y Optimización</v>
      </c>
      <c r="D130" s="982"/>
      <c r="E130" s="982"/>
      <c r="F130" s="982"/>
      <c r="G130" s="982"/>
      <c r="H130" s="982"/>
      <c r="I130" s="982"/>
      <c r="J130" s="982"/>
      <c r="K130" s="982"/>
      <c r="L130" s="982"/>
      <c r="M130" s="982"/>
      <c r="N130" s="982"/>
      <c r="O130" s="982"/>
      <c r="P130" s="982"/>
      <c r="Q130" s="982"/>
      <c r="R130" s="982"/>
      <c r="S130" s="982"/>
      <c r="T130" s="982"/>
      <c r="U130" s="1205">
        <v>8825</v>
      </c>
      <c r="V130" s="1205"/>
      <c r="W130" s="1205">
        <f>VLOOKUP(U130,ASIGNATURAS!$F$1:$L$1022, 5, FALSE)</f>
        <v>6</v>
      </c>
      <c r="X130" s="1205"/>
      <c r="Y130" s="1205"/>
      <c r="Z130" s="1205"/>
      <c r="AA130" s="982" t="str">
        <f>VLOOKUP(U130,ASIGNATURAS!$F$1:$L$1022, 6, FALSE)</f>
        <v>Mª José Zapatero</v>
      </c>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row>
    <row r="131" spans="1:65" ht="13.8" x14ac:dyDescent="0.25">
      <c r="A131" s="1203" t="str">
        <f>VLOOKUP(U131,ASIGNATURAS!$F$1:$L$1022, 3, FALSE)</f>
        <v>PROG. CONCUR.</v>
      </c>
      <c r="B131" s="1203"/>
      <c r="C131" s="982" t="str">
        <f>VLOOKUP(U131,ASIGNATURAS!$F$1:$L$1022, 4, FALSE)</f>
        <v>Programación Concurrente y de Tiempo Real</v>
      </c>
      <c r="D131" s="982"/>
      <c r="E131" s="982"/>
      <c r="F131" s="982"/>
      <c r="G131" s="982"/>
      <c r="H131" s="982"/>
      <c r="I131" s="982"/>
      <c r="J131" s="982"/>
      <c r="K131" s="982"/>
      <c r="L131" s="982"/>
      <c r="M131" s="982"/>
      <c r="N131" s="982"/>
      <c r="O131" s="982"/>
      <c r="P131" s="982"/>
      <c r="Q131" s="982"/>
      <c r="R131" s="982"/>
      <c r="S131" s="982"/>
      <c r="T131" s="982"/>
      <c r="U131" s="1205">
        <v>8821</v>
      </c>
      <c r="V131" s="1205"/>
      <c r="W131" s="1205">
        <f>VLOOKUP(U131,ASIGNATURAS!$F$1:$L$1022, 5, FALSE)</f>
        <v>6</v>
      </c>
      <c r="X131" s="1205"/>
      <c r="Y131" s="1205"/>
      <c r="Z131" s="1205"/>
      <c r="AA131" s="982" t="str">
        <f>VLOOKUP(U131,ASIGNATURAS!$F$1:$L$1022, 6, FALSE)</f>
        <v>Carlos López Nozal, Rubén Ruiz</v>
      </c>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row>
    <row r="132" spans="1:65" ht="15" customHeight="1" x14ac:dyDescent="0.25">
      <c r="A132" s="1203" t="str">
        <f>VLOOKUP(U132,ASIGNATURAS!$F$1:$L$1022, 3, FALSE)</f>
        <v>SEGURIDAD</v>
      </c>
      <c r="B132" s="1203"/>
      <c r="C132" s="982" t="str">
        <f>VLOOKUP(U132,ASIGNATURAS!$F$1:$L$1022, 4, FALSE)</f>
        <v>Seguridad Informática</v>
      </c>
      <c r="D132" s="982"/>
      <c r="E132" s="982"/>
      <c r="F132" s="982"/>
      <c r="G132" s="982"/>
      <c r="H132" s="982"/>
      <c r="I132" s="982"/>
      <c r="J132" s="982"/>
      <c r="K132" s="982"/>
      <c r="L132" s="982"/>
      <c r="M132" s="982"/>
      <c r="N132" s="982"/>
      <c r="O132" s="982"/>
      <c r="P132" s="982"/>
      <c r="Q132" s="982"/>
      <c r="R132" s="982"/>
      <c r="S132" s="982"/>
      <c r="T132" s="982"/>
      <c r="U132" s="1205">
        <v>8822</v>
      </c>
      <c r="V132" s="1205"/>
      <c r="W132" s="1205">
        <f>VLOOKUP(U132,ASIGNATURAS!$F$1:$L$1022, 5, FALSE)</f>
        <v>6</v>
      </c>
      <c r="X132" s="1205"/>
      <c r="Y132" s="1205"/>
      <c r="Z132" s="1205"/>
      <c r="AA132" s="982" t="str">
        <f>VLOOKUP(U132,ASIGNATURAS!$F$1:$L$1022, 6, FALSE)</f>
        <v>Jose Manuel Saiz Díez</v>
      </c>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row>
    <row r="135" spans="1:65" ht="24" customHeight="1" x14ac:dyDescent="0.25">
      <c r="A135" s="1145" t="s">
        <v>165</v>
      </c>
      <c r="B135" s="1145"/>
      <c r="C135" s="1145"/>
      <c r="D135" s="1145"/>
      <c r="E135" s="1145"/>
      <c r="F135" s="1145"/>
      <c r="G135" s="1145"/>
      <c r="H135" s="270"/>
      <c r="I135" s="270"/>
      <c r="J135" s="10"/>
    </row>
    <row r="136" spans="1:65" ht="24" customHeight="1" x14ac:dyDescent="0.25">
      <c r="A136" s="1148" t="s">
        <v>1010</v>
      </c>
      <c r="B136" s="1148"/>
      <c r="C136" s="1148"/>
      <c r="D136" s="1148"/>
      <c r="E136" s="1148"/>
      <c r="F136" s="1148"/>
      <c r="G136" s="1148"/>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1135" t="str">
        <f>VLOOKUP(A143,ASIGNATURAS!$A$2:$D$151, 3, FALSE)</f>
        <v>4º Grado en Ingeniería Informática</v>
      </c>
      <c r="B140" s="1136"/>
      <c r="C140" s="1136"/>
      <c r="D140" s="1136"/>
      <c r="E140" s="1136"/>
      <c r="F140" s="1136"/>
      <c r="G140" s="1136"/>
      <c r="H140" s="1136"/>
      <c r="I140" s="1136"/>
      <c r="J140" s="1136"/>
      <c r="K140" s="1136"/>
      <c r="L140" s="1136"/>
      <c r="M140" s="1136"/>
      <c r="N140" s="1136"/>
      <c r="O140" s="1136"/>
      <c r="P140" s="1136"/>
      <c r="Q140" s="1136"/>
      <c r="R140" s="1136"/>
      <c r="S140" s="1136"/>
      <c r="T140" s="1136"/>
      <c r="U140" s="1136"/>
      <c r="V140" s="1136"/>
      <c r="W140" s="1136"/>
      <c r="X140" s="1136"/>
      <c r="Y140" s="1136"/>
      <c r="Z140" s="1136"/>
      <c r="AA140" s="1136"/>
      <c r="AB140" s="1136"/>
      <c r="AC140" s="1136"/>
      <c r="AD140" s="1136"/>
      <c r="AE140" s="1136"/>
      <c r="AF140" s="1136"/>
      <c r="AG140" s="1136"/>
      <c r="AH140" s="1136"/>
      <c r="AI140" s="1136"/>
      <c r="AJ140" s="1136"/>
      <c r="AK140" s="1136"/>
      <c r="AL140" s="1136"/>
      <c r="AM140" s="1136"/>
      <c r="AN140" s="1136"/>
      <c r="AO140" s="1137"/>
      <c r="AP140" s="1064" t="str">
        <f>AP1</f>
        <v>Curso 2024-2025</v>
      </c>
      <c r="AQ140" s="1065"/>
      <c r="AR140" s="1065"/>
      <c r="AS140" s="1065"/>
      <c r="AT140" s="1065"/>
      <c r="AU140" s="1065"/>
      <c r="AV140" s="1065"/>
      <c r="AW140" s="1065"/>
      <c r="AX140" s="1065"/>
      <c r="AY140" s="1066"/>
    </row>
    <row r="141" spans="1:65" s="8" customFormat="1" ht="23.25" customHeight="1" thickBot="1" x14ac:dyDescent="0.45">
      <c r="A141" s="1132" t="str">
        <f>VLOOKUP(A143,ASIGNATURAS!$A$2:$D$151, 2, FALSE)</f>
        <v>Semestre temporal: 1º        (7º Semestre Académico)</v>
      </c>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3"/>
      <c r="W141" s="1133"/>
      <c r="X141" s="1133"/>
      <c r="Y141" s="1133"/>
      <c r="Z141" s="1133"/>
      <c r="AA141" s="1133"/>
      <c r="AB141" s="1133"/>
      <c r="AC141" s="1133"/>
      <c r="AD141" s="1133"/>
      <c r="AE141" s="1133"/>
      <c r="AF141" s="1133"/>
      <c r="AG141" s="1133"/>
      <c r="AH141" s="1133"/>
      <c r="AI141" s="1133"/>
      <c r="AJ141" s="1133"/>
      <c r="AK141" s="1133"/>
      <c r="AL141" s="1133"/>
      <c r="AM141" s="1133"/>
      <c r="AN141" s="1133"/>
      <c r="AO141" s="1134"/>
      <c r="AP141" s="1013" t="s">
        <v>1196</v>
      </c>
      <c r="AQ141" s="1013"/>
      <c r="AR141" s="1013"/>
      <c r="AS141" s="1013"/>
      <c r="AT141" s="1013"/>
      <c r="AU141" s="1013"/>
      <c r="AV141" s="1013"/>
      <c r="AW141" s="1013"/>
      <c r="AX141" s="1013"/>
      <c r="AY141" s="1014"/>
    </row>
    <row r="142" spans="1:65" s="8" customFormat="1" ht="23.25" customHeight="1" thickBot="1" x14ac:dyDescent="0.45">
      <c r="A142" s="1132" t="s">
        <v>177</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3"/>
      <c r="AM142" s="1133"/>
      <c r="AN142" s="1133"/>
      <c r="AO142" s="1134"/>
      <c r="AP142" s="1015"/>
      <c r="AQ142" s="1015"/>
      <c r="AR142" s="1015"/>
      <c r="AS142" s="1015"/>
      <c r="AT142" s="1015"/>
      <c r="AU142" s="1015"/>
      <c r="AV142" s="1015"/>
      <c r="AW142" s="1015"/>
      <c r="AX142" s="1015"/>
      <c r="AY142" s="1016"/>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64" t="s">
        <v>2</v>
      </c>
      <c r="C144" s="1065"/>
      <c r="D144" s="1065"/>
      <c r="E144" s="1065"/>
      <c r="F144" s="1065"/>
      <c r="G144" s="1065"/>
      <c r="H144" s="1065"/>
      <c r="I144" s="1065"/>
      <c r="J144" s="1065"/>
      <c r="K144" s="1066"/>
      <c r="L144" s="1064" t="s">
        <v>3</v>
      </c>
      <c r="M144" s="1065"/>
      <c r="N144" s="1065"/>
      <c r="O144" s="1065"/>
      <c r="P144" s="1065"/>
      <c r="Q144" s="1065"/>
      <c r="R144" s="1065"/>
      <c r="S144" s="1065"/>
      <c r="T144" s="1065"/>
      <c r="U144" s="1066"/>
      <c r="V144" s="975" t="s">
        <v>135</v>
      </c>
      <c r="W144" s="976"/>
      <c r="X144" s="976"/>
      <c r="Y144" s="976"/>
      <c r="Z144" s="976"/>
      <c r="AA144" s="976"/>
      <c r="AB144" s="976"/>
      <c r="AC144" s="976"/>
      <c r="AD144" s="976"/>
      <c r="AE144" s="977"/>
      <c r="AF144" s="1064" t="s">
        <v>4</v>
      </c>
      <c r="AG144" s="1065"/>
      <c r="AH144" s="1065"/>
      <c r="AI144" s="1065"/>
      <c r="AJ144" s="1065"/>
      <c r="AK144" s="1065"/>
      <c r="AL144" s="1065"/>
      <c r="AM144" s="1065"/>
      <c r="AN144" s="1065"/>
      <c r="AO144" s="1066"/>
      <c r="AP144" s="1064" t="s">
        <v>5</v>
      </c>
      <c r="AQ144" s="1065"/>
      <c r="AR144" s="1065"/>
      <c r="AS144" s="1065"/>
      <c r="AT144" s="1065"/>
      <c r="AU144" s="1065"/>
      <c r="AV144" s="1065"/>
      <c r="AW144" s="1065"/>
      <c r="AX144" s="1065"/>
      <c r="AY144" s="1066"/>
      <c r="BB144" s="277"/>
      <c r="BC144" s="277"/>
      <c r="BD144" s="1814"/>
      <c r="BE144" s="1814"/>
      <c r="BF144" s="1814"/>
      <c r="BG144" s="1814"/>
      <c r="BH144" s="1814"/>
      <c r="BI144" s="277"/>
      <c r="BJ144" s="277"/>
      <c r="BK144" s="277"/>
      <c r="BL144" s="277"/>
      <c r="BM144" s="277"/>
    </row>
    <row r="145" spans="1:65" ht="30" customHeight="1" x14ac:dyDescent="0.3">
      <c r="A145" s="1128" t="s">
        <v>6</v>
      </c>
      <c r="B145" s="2574"/>
      <c r="C145" s="2575"/>
      <c r="D145" s="2575"/>
      <c r="E145" s="2575"/>
      <c r="F145" s="2575"/>
      <c r="G145" s="2575"/>
      <c r="H145" s="2575"/>
      <c r="I145" s="2575"/>
      <c r="J145" s="2575"/>
      <c r="K145" s="2576"/>
      <c r="L145" s="399"/>
      <c r="M145" s="400"/>
      <c r="N145" s="400"/>
      <c r="O145" s="400"/>
      <c r="P145" s="400"/>
      <c r="Q145" s="400"/>
      <c r="R145" s="400"/>
      <c r="S145" s="400"/>
      <c r="T145" s="400"/>
      <c r="U145" s="401"/>
      <c r="V145" s="2586" t="s">
        <v>429</v>
      </c>
      <c r="W145" s="2587"/>
      <c r="X145" s="2587"/>
      <c r="Y145" s="2587"/>
      <c r="Z145" s="2587"/>
      <c r="AA145" s="2587"/>
      <c r="AB145" s="2587"/>
      <c r="AC145" s="2587"/>
      <c r="AD145" s="2587" t="s">
        <v>569</v>
      </c>
      <c r="AE145" s="2588"/>
      <c r="AF145" s="2590" t="s">
        <v>114</v>
      </c>
      <c r="AG145" s="2073"/>
      <c r="AH145" s="2073"/>
      <c r="AI145" s="2073"/>
      <c r="AJ145" s="2073"/>
      <c r="AK145" s="2073"/>
      <c r="AL145" s="2073"/>
      <c r="AM145" s="2073"/>
      <c r="AN145" s="2073" t="s">
        <v>569</v>
      </c>
      <c r="AO145" s="2074"/>
      <c r="AP145" s="2568" t="s">
        <v>113</v>
      </c>
      <c r="AQ145" s="2569"/>
      <c r="AR145" s="2569"/>
      <c r="AS145" s="2569"/>
      <c r="AT145" s="2569"/>
      <c r="AU145" s="2569"/>
      <c r="AV145" s="2569"/>
      <c r="AW145" s="2569"/>
      <c r="AX145" s="2569"/>
      <c r="AY145" s="2570"/>
      <c r="BB145" s="10"/>
      <c r="BC145" s="10"/>
      <c r="BD145" s="1814"/>
      <c r="BE145" s="1814"/>
      <c r="BF145" s="1814"/>
      <c r="BG145" s="1814"/>
      <c r="BH145" s="1814"/>
      <c r="BI145" s="10"/>
      <c r="BJ145" s="10"/>
      <c r="BK145" s="10"/>
      <c r="BL145" s="10"/>
      <c r="BM145" s="10"/>
    </row>
    <row r="146" spans="1:65" ht="30" customHeight="1" x14ac:dyDescent="0.25">
      <c r="A146" s="1105"/>
      <c r="B146" s="2571"/>
      <c r="C146" s="2572"/>
      <c r="D146" s="2572"/>
      <c r="E146" s="2572"/>
      <c r="F146" s="2572"/>
      <c r="G146" s="2572"/>
      <c r="H146" s="2572"/>
      <c r="I146" s="2572"/>
      <c r="J146" s="2572"/>
      <c r="K146" s="2573"/>
      <c r="L146" s="402"/>
      <c r="M146" s="403"/>
      <c r="N146" s="403"/>
      <c r="O146" s="403"/>
      <c r="P146" s="403"/>
      <c r="Q146" s="403"/>
      <c r="R146" s="403"/>
      <c r="S146" s="403"/>
      <c r="T146" s="403"/>
      <c r="U146" s="404"/>
      <c r="V146" s="2580" t="s">
        <v>1236</v>
      </c>
      <c r="W146" s="2581"/>
      <c r="X146" s="2581"/>
      <c r="Y146" s="2581"/>
      <c r="Z146" s="2581"/>
      <c r="AA146" s="2581"/>
      <c r="AB146" s="2581"/>
      <c r="AC146" s="2581"/>
      <c r="AD146" s="2581"/>
      <c r="AE146" s="2582"/>
      <c r="AF146" s="2591" t="s">
        <v>667</v>
      </c>
      <c r="AG146" s="2592"/>
      <c r="AH146" s="2592"/>
      <c r="AI146" s="2592"/>
      <c r="AJ146" s="2592"/>
      <c r="AK146" s="2592"/>
      <c r="AL146" s="2592"/>
      <c r="AM146" s="2592"/>
      <c r="AN146" s="2592"/>
      <c r="AO146" s="2593"/>
      <c r="AP146" s="1826" t="s">
        <v>152</v>
      </c>
      <c r="AQ146" s="1827"/>
      <c r="AR146" s="1827"/>
      <c r="AS146" s="1827"/>
      <c r="AT146" s="1827"/>
      <c r="AU146" s="1827"/>
      <c r="AV146" s="1827"/>
      <c r="AW146" s="1827"/>
      <c r="AX146" s="1827"/>
      <c r="AY146" s="1828"/>
      <c r="BB146" s="10"/>
      <c r="BC146" s="10"/>
      <c r="BD146" s="1814"/>
      <c r="BE146" s="1814"/>
      <c r="BF146" s="1814"/>
      <c r="BG146" s="1814"/>
      <c r="BH146" s="1814"/>
      <c r="BI146" s="10"/>
      <c r="BJ146" s="10"/>
      <c r="BK146" s="10"/>
      <c r="BL146" s="10"/>
      <c r="BM146" s="10"/>
    </row>
    <row r="147" spans="1:65" ht="30" customHeight="1" x14ac:dyDescent="0.3">
      <c r="A147" s="1100" t="s">
        <v>7</v>
      </c>
      <c r="B147" s="2594"/>
      <c r="C147" s="2532"/>
      <c r="D147" s="2532"/>
      <c r="E147" s="2532"/>
      <c r="F147" s="2532"/>
      <c r="G147" s="2532"/>
      <c r="H147" s="2532"/>
      <c r="I147" s="2532"/>
      <c r="J147" s="2067"/>
      <c r="K147" s="2068"/>
      <c r="L147" s="216"/>
      <c r="M147" s="217"/>
      <c r="N147" s="217"/>
      <c r="O147" s="217"/>
      <c r="P147" s="217"/>
      <c r="Q147" s="217"/>
      <c r="R147" s="217"/>
      <c r="S147" s="217"/>
      <c r="T147" s="217"/>
      <c r="U147" s="218"/>
      <c r="V147" s="2589" t="s">
        <v>429</v>
      </c>
      <c r="W147" s="2048"/>
      <c r="X147" s="2048"/>
      <c r="Y147" s="2048"/>
      <c r="Z147" s="2048"/>
      <c r="AA147" s="2048"/>
      <c r="AB147" s="2048"/>
      <c r="AC147" s="2048"/>
      <c r="AD147" s="2048" t="s">
        <v>569</v>
      </c>
      <c r="AE147" s="2049"/>
      <c r="AF147" s="2590" t="s">
        <v>114</v>
      </c>
      <c r="AG147" s="2073"/>
      <c r="AH147" s="2073"/>
      <c r="AI147" s="2073"/>
      <c r="AJ147" s="2073"/>
      <c r="AK147" s="2073"/>
      <c r="AL147" s="2073"/>
      <c r="AM147" s="2073"/>
      <c r="AN147" s="2073" t="s">
        <v>569</v>
      </c>
      <c r="AO147" s="2074"/>
      <c r="AP147" s="2577" t="s">
        <v>113</v>
      </c>
      <c r="AQ147" s="2578"/>
      <c r="AR147" s="2578"/>
      <c r="AS147" s="2578"/>
      <c r="AT147" s="2578"/>
      <c r="AU147" s="2578"/>
      <c r="AV147" s="2578"/>
      <c r="AW147" s="2578"/>
      <c r="AX147" s="2578"/>
      <c r="AY147" s="2579"/>
      <c r="BB147" s="10"/>
      <c r="BC147" s="10"/>
      <c r="BD147" s="1814"/>
      <c r="BE147" s="1814"/>
      <c r="BF147" s="1814"/>
      <c r="BG147" s="1814"/>
      <c r="BH147" s="1814"/>
      <c r="BI147" s="10"/>
      <c r="BJ147" s="10"/>
      <c r="BK147" s="10"/>
      <c r="BL147" s="10"/>
      <c r="BM147" s="10"/>
    </row>
    <row r="148" spans="1:65" ht="30" customHeight="1" x14ac:dyDescent="0.25">
      <c r="A148" s="1105"/>
      <c r="B148" s="2571"/>
      <c r="C148" s="2572"/>
      <c r="D148" s="2572"/>
      <c r="E148" s="2572"/>
      <c r="F148" s="2572"/>
      <c r="G148" s="2572"/>
      <c r="H148" s="2572"/>
      <c r="I148" s="2572"/>
      <c r="J148" s="2572"/>
      <c r="K148" s="2573"/>
      <c r="L148" s="402"/>
      <c r="M148" s="403"/>
      <c r="N148" s="403"/>
      <c r="O148" s="403"/>
      <c r="P148" s="403"/>
      <c r="Q148" s="403"/>
      <c r="R148" s="403"/>
      <c r="S148" s="403"/>
      <c r="T148" s="403"/>
      <c r="U148" s="404"/>
      <c r="V148" s="2580" t="s">
        <v>1236</v>
      </c>
      <c r="W148" s="2581"/>
      <c r="X148" s="2581"/>
      <c r="Y148" s="2581"/>
      <c r="Z148" s="2581"/>
      <c r="AA148" s="2581"/>
      <c r="AB148" s="2581"/>
      <c r="AC148" s="2581"/>
      <c r="AD148" s="2581"/>
      <c r="AE148" s="2582"/>
      <c r="AF148" s="2661" t="s">
        <v>667</v>
      </c>
      <c r="AG148" s="2662"/>
      <c r="AH148" s="2662"/>
      <c r="AI148" s="2662"/>
      <c r="AJ148" s="2662"/>
      <c r="AK148" s="2662"/>
      <c r="AL148" s="2662"/>
      <c r="AM148" s="2662"/>
      <c r="AN148" s="2662"/>
      <c r="AO148" s="2663"/>
      <c r="AP148" s="1826" t="s">
        <v>152</v>
      </c>
      <c r="AQ148" s="1827"/>
      <c r="AR148" s="1827"/>
      <c r="AS148" s="1827"/>
      <c r="AT148" s="1827"/>
      <c r="AU148" s="1827"/>
      <c r="AV148" s="1827"/>
      <c r="AW148" s="1827"/>
      <c r="AX148" s="1827"/>
      <c r="AY148" s="1828"/>
      <c r="BB148" s="10"/>
      <c r="BC148" s="10"/>
      <c r="BD148" s="1814"/>
      <c r="BE148" s="1814"/>
      <c r="BF148" s="1814"/>
      <c r="BG148" s="1814"/>
      <c r="BH148" s="1814"/>
      <c r="BI148" s="1814"/>
      <c r="BJ148" s="1814"/>
      <c r="BK148" s="1814"/>
      <c r="BL148" s="1814"/>
      <c r="BM148" s="1814"/>
    </row>
    <row r="149" spans="1:65" ht="30" customHeight="1" x14ac:dyDescent="0.3">
      <c r="A149" s="1100" t="s">
        <v>8</v>
      </c>
      <c r="B149" s="2568" t="s">
        <v>430</v>
      </c>
      <c r="C149" s="2569"/>
      <c r="D149" s="2569"/>
      <c r="E149" s="2569"/>
      <c r="F149" s="2569"/>
      <c r="G149" s="2569"/>
      <c r="H149" s="2569"/>
      <c r="I149" s="2569"/>
      <c r="J149" s="2569"/>
      <c r="K149" s="2570"/>
      <c r="L149" s="2577" t="s">
        <v>429</v>
      </c>
      <c r="M149" s="2578"/>
      <c r="N149" s="2578"/>
      <c r="O149" s="2578"/>
      <c r="P149" s="2578"/>
      <c r="Q149" s="2578"/>
      <c r="R149" s="2578"/>
      <c r="S149" s="2578"/>
      <c r="T149" s="2578"/>
      <c r="U149" s="2579"/>
      <c r="V149" s="2568" t="s">
        <v>114</v>
      </c>
      <c r="W149" s="2569"/>
      <c r="X149" s="2569"/>
      <c r="Y149" s="2569"/>
      <c r="Z149" s="2569"/>
      <c r="AA149" s="2569"/>
      <c r="AB149" s="2569"/>
      <c r="AC149" s="2569"/>
      <c r="AD149" s="2569"/>
      <c r="AE149" s="2570"/>
      <c r="AF149" s="2583"/>
      <c r="AG149" s="2584"/>
      <c r="AH149" s="2584"/>
      <c r="AI149" s="2584"/>
      <c r="AJ149" s="2584"/>
      <c r="AK149" s="2584"/>
      <c r="AL149" s="2584"/>
      <c r="AM149" s="2584"/>
      <c r="AN149" s="2584"/>
      <c r="AO149" s="2585"/>
      <c r="AP149" s="2599" t="s">
        <v>430</v>
      </c>
      <c r="AQ149" s="2600"/>
      <c r="AR149" s="2600"/>
      <c r="AS149" s="2600"/>
      <c r="AT149" s="2600"/>
      <c r="AU149" s="2600"/>
      <c r="AV149" s="2600"/>
      <c r="AW149" s="2600"/>
      <c r="AX149" s="2073" t="s">
        <v>569</v>
      </c>
      <c r="AY149" s="2074"/>
      <c r="BB149" s="10"/>
      <c r="BC149" s="10"/>
      <c r="BD149" s="1814"/>
      <c r="BE149" s="1814"/>
      <c r="BF149" s="1814"/>
      <c r="BG149" s="1814"/>
      <c r="BH149" s="1814"/>
      <c r="BI149" s="1814"/>
      <c r="BJ149" s="1814"/>
      <c r="BK149" s="1814"/>
      <c r="BL149" s="1814"/>
      <c r="BM149" s="1814"/>
    </row>
    <row r="150" spans="1:65" ht="30" customHeight="1" x14ac:dyDescent="0.25">
      <c r="A150" s="1105"/>
      <c r="B150" s="2565" t="s">
        <v>1236</v>
      </c>
      <c r="C150" s="2566"/>
      <c r="D150" s="2566"/>
      <c r="E150" s="2566"/>
      <c r="F150" s="2566"/>
      <c r="G150" s="2566"/>
      <c r="H150" s="2566"/>
      <c r="I150" s="2566"/>
      <c r="J150" s="2566"/>
      <c r="K150" s="2567"/>
      <c r="L150" s="1826" t="s">
        <v>152</v>
      </c>
      <c r="M150" s="1827"/>
      <c r="N150" s="1827"/>
      <c r="O150" s="1827"/>
      <c r="P150" s="1827"/>
      <c r="Q150" s="1827"/>
      <c r="R150" s="1827"/>
      <c r="S150" s="1827"/>
      <c r="T150" s="1827"/>
      <c r="U150" s="1828"/>
      <c r="V150" s="1826" t="s">
        <v>667</v>
      </c>
      <c r="W150" s="1827"/>
      <c r="X150" s="1827"/>
      <c r="Y150" s="1827"/>
      <c r="Z150" s="1827"/>
      <c r="AA150" s="1827"/>
      <c r="AB150" s="1827"/>
      <c r="AC150" s="1827"/>
      <c r="AD150" s="1827"/>
      <c r="AE150" s="1828"/>
      <c r="AF150" s="1815"/>
      <c r="AG150" s="1816"/>
      <c r="AH150" s="1816"/>
      <c r="AI150" s="1816"/>
      <c r="AJ150" s="1816"/>
      <c r="AK150" s="1816"/>
      <c r="AL150" s="1816"/>
      <c r="AM150" s="1816"/>
      <c r="AN150" s="1816"/>
      <c r="AO150" s="1817"/>
      <c r="AP150" s="2580" t="s">
        <v>1236</v>
      </c>
      <c r="AQ150" s="2581"/>
      <c r="AR150" s="2581"/>
      <c r="AS150" s="2581"/>
      <c r="AT150" s="2581"/>
      <c r="AU150" s="2581"/>
      <c r="AV150" s="2581"/>
      <c r="AW150" s="2581"/>
      <c r="AX150" s="2581"/>
      <c r="AY150" s="2582"/>
      <c r="BB150" s="10"/>
      <c r="BC150" s="10"/>
      <c r="BD150" s="1814"/>
      <c r="BE150" s="1814"/>
      <c r="BF150" s="1814"/>
      <c r="BG150" s="1814"/>
      <c r="BH150" s="1814"/>
      <c r="BI150" s="1814"/>
      <c r="BJ150" s="1814"/>
      <c r="BK150" s="1814"/>
      <c r="BL150" s="1814"/>
      <c r="BM150" s="1814"/>
    </row>
    <row r="151" spans="1:65" ht="30" customHeight="1" x14ac:dyDescent="0.3">
      <c r="A151" s="1100" t="s">
        <v>9</v>
      </c>
      <c r="B151" s="2568" t="s">
        <v>430</v>
      </c>
      <c r="C151" s="2569"/>
      <c r="D151" s="2569"/>
      <c r="E151" s="2569"/>
      <c r="F151" s="2569"/>
      <c r="G151" s="2569"/>
      <c r="H151" s="2569"/>
      <c r="I151" s="2569"/>
      <c r="J151" s="2569"/>
      <c r="K151" s="2570"/>
      <c r="L151" s="2577" t="s">
        <v>429</v>
      </c>
      <c r="M151" s="2578"/>
      <c r="N151" s="2578"/>
      <c r="O151" s="2578"/>
      <c r="P151" s="2578"/>
      <c r="Q151" s="2578"/>
      <c r="R151" s="2578"/>
      <c r="S151" s="2578"/>
      <c r="T151" s="2578"/>
      <c r="U151" s="2579"/>
      <c r="V151" s="2577" t="s">
        <v>114</v>
      </c>
      <c r="W151" s="2578"/>
      <c r="X151" s="2578"/>
      <c r="Y151" s="2578"/>
      <c r="Z151" s="2578"/>
      <c r="AA151" s="2578"/>
      <c r="AB151" s="2578"/>
      <c r="AC151" s="2578"/>
      <c r="AD151" s="2578"/>
      <c r="AE151" s="2579"/>
      <c r="AF151" s="2594"/>
      <c r="AG151" s="2532"/>
      <c r="AH151" s="2532"/>
      <c r="AI151" s="2532"/>
      <c r="AJ151" s="2532"/>
      <c r="AK151" s="2532"/>
      <c r="AL151" s="2532"/>
      <c r="AM151" s="2532"/>
      <c r="AN151" s="2532"/>
      <c r="AO151" s="2595"/>
      <c r="AP151" s="2599" t="s">
        <v>430</v>
      </c>
      <c r="AQ151" s="2600"/>
      <c r="AR151" s="2600"/>
      <c r="AS151" s="2600"/>
      <c r="AT151" s="2600"/>
      <c r="AU151" s="2600"/>
      <c r="AV151" s="2600"/>
      <c r="AW151" s="2600"/>
      <c r="AX151" s="2073" t="s">
        <v>569</v>
      </c>
      <c r="AY151" s="2074"/>
      <c r="BB151" s="10"/>
      <c r="BC151" s="10"/>
      <c r="BD151" s="1814"/>
      <c r="BE151" s="1814"/>
      <c r="BF151" s="1814"/>
      <c r="BG151" s="1814"/>
      <c r="BH151" s="1814"/>
      <c r="BI151" s="1814"/>
      <c r="BJ151" s="1814"/>
      <c r="BK151" s="1814"/>
      <c r="BL151" s="1814"/>
      <c r="BM151" s="1814"/>
    </row>
    <row r="152" spans="1:65" ht="30" customHeight="1" thickBot="1" x14ac:dyDescent="0.3">
      <c r="A152" s="1105"/>
      <c r="B152" s="2565" t="s">
        <v>1236</v>
      </c>
      <c r="C152" s="2566"/>
      <c r="D152" s="2566"/>
      <c r="E152" s="2566"/>
      <c r="F152" s="2566"/>
      <c r="G152" s="2566"/>
      <c r="H152" s="2566"/>
      <c r="I152" s="2566"/>
      <c r="J152" s="2566"/>
      <c r="K152" s="2567"/>
      <c r="L152" s="1826" t="s">
        <v>152</v>
      </c>
      <c r="M152" s="1827"/>
      <c r="N152" s="1827"/>
      <c r="O152" s="1827"/>
      <c r="P152" s="1827"/>
      <c r="Q152" s="1827"/>
      <c r="R152" s="1827"/>
      <c r="S152" s="1827"/>
      <c r="T152" s="1827"/>
      <c r="U152" s="1828"/>
      <c r="V152" s="2565" t="s">
        <v>667</v>
      </c>
      <c r="W152" s="2566"/>
      <c r="X152" s="2566"/>
      <c r="Y152" s="2566"/>
      <c r="Z152" s="2566"/>
      <c r="AA152" s="2566"/>
      <c r="AB152" s="2566"/>
      <c r="AC152" s="2566"/>
      <c r="AD152" s="2566"/>
      <c r="AE152" s="2567"/>
      <c r="AF152" s="2596"/>
      <c r="AG152" s="2597"/>
      <c r="AH152" s="2597"/>
      <c r="AI152" s="2597"/>
      <c r="AJ152" s="2597"/>
      <c r="AK152" s="2597"/>
      <c r="AL152" s="2597"/>
      <c r="AM152" s="2597"/>
      <c r="AN152" s="2597"/>
      <c r="AO152" s="2598"/>
      <c r="AP152" s="2580" t="s">
        <v>1236</v>
      </c>
      <c r="AQ152" s="2581"/>
      <c r="AR152" s="2581"/>
      <c r="AS152" s="2581"/>
      <c r="AT152" s="2581"/>
      <c r="AU152" s="2581"/>
      <c r="AV152" s="2581"/>
      <c r="AW152" s="2581"/>
      <c r="AX152" s="2581"/>
      <c r="AY152" s="2582"/>
      <c r="BB152" s="10"/>
      <c r="BC152" s="10"/>
      <c r="BD152" s="2597"/>
      <c r="BE152" s="2597"/>
      <c r="BF152" s="2597"/>
      <c r="BG152" s="2597"/>
      <c r="BH152" s="2597"/>
      <c r="BI152" s="2597"/>
      <c r="BJ152" s="2597"/>
      <c r="BK152" s="2597"/>
      <c r="BL152" s="2597"/>
      <c r="BM152" s="2597"/>
    </row>
    <row r="153" spans="1:65" s="2" customFormat="1" ht="17.25" customHeight="1" thickBot="1" x14ac:dyDescent="0.3">
      <c r="A153" s="19" t="s">
        <v>1</v>
      </c>
      <c r="B153" s="1064" t="s">
        <v>2</v>
      </c>
      <c r="C153" s="1065"/>
      <c r="D153" s="1065"/>
      <c r="E153" s="1065"/>
      <c r="F153" s="1065"/>
      <c r="G153" s="1065"/>
      <c r="H153" s="1065"/>
      <c r="I153" s="1065"/>
      <c r="J153" s="1065"/>
      <c r="K153" s="1066"/>
      <c r="L153" s="975" t="s">
        <v>3</v>
      </c>
      <c r="M153" s="976"/>
      <c r="N153" s="976"/>
      <c r="O153" s="976"/>
      <c r="P153" s="976"/>
      <c r="Q153" s="976"/>
      <c r="R153" s="976"/>
      <c r="S153" s="976"/>
      <c r="T153" s="976"/>
      <c r="U153" s="977"/>
      <c r="V153" s="975" t="s">
        <v>135</v>
      </c>
      <c r="W153" s="976"/>
      <c r="X153" s="976"/>
      <c r="Y153" s="976"/>
      <c r="Z153" s="976"/>
      <c r="AA153" s="976"/>
      <c r="AB153" s="976"/>
      <c r="AC153" s="976"/>
      <c r="AD153" s="976"/>
      <c r="AE153" s="977"/>
      <c r="AF153" s="975" t="s">
        <v>4</v>
      </c>
      <c r="AG153" s="976"/>
      <c r="AH153" s="976"/>
      <c r="AI153" s="976"/>
      <c r="AJ153" s="976"/>
      <c r="AK153" s="976"/>
      <c r="AL153" s="976"/>
      <c r="AM153" s="976"/>
      <c r="AN153" s="976"/>
      <c r="AO153" s="977"/>
      <c r="AP153" s="1064" t="s">
        <v>5</v>
      </c>
      <c r="AQ153" s="1065"/>
      <c r="AR153" s="1065"/>
      <c r="AS153" s="1065"/>
      <c r="AT153" s="1065"/>
      <c r="AU153" s="1065"/>
      <c r="AV153" s="1065"/>
      <c r="AW153" s="1065"/>
      <c r="AX153" s="1065"/>
      <c r="AY153" s="1066"/>
      <c r="BB153" s="277"/>
      <c r="BC153" s="2601"/>
      <c r="BD153" s="2601"/>
      <c r="BE153" s="1814"/>
      <c r="BF153" s="1814"/>
      <c r="BG153" s="277"/>
      <c r="BH153" s="277"/>
      <c r="BI153" s="277"/>
      <c r="BJ153" s="277"/>
      <c r="BK153" s="277"/>
      <c r="BL153" s="277"/>
      <c r="BM153" s="277"/>
    </row>
    <row r="154" spans="1:65" ht="30" customHeight="1" x14ac:dyDescent="0.3">
      <c r="A154" s="2522" t="s">
        <v>1091</v>
      </c>
      <c r="B154" s="2574"/>
      <c r="C154" s="2575"/>
      <c r="D154" s="2575"/>
      <c r="E154" s="2575"/>
      <c r="F154" s="2575"/>
      <c r="G154" s="2575"/>
      <c r="H154" s="2575"/>
      <c r="I154" s="2575"/>
      <c r="J154" s="2575"/>
      <c r="K154" s="2576"/>
      <c r="L154" s="2578" t="s">
        <v>426</v>
      </c>
      <c r="M154" s="2578"/>
      <c r="N154" s="2578"/>
      <c r="O154" s="2578"/>
      <c r="P154" s="2578"/>
      <c r="Q154" s="2578"/>
      <c r="R154" s="2578"/>
      <c r="S154" s="2578"/>
      <c r="T154" s="2578"/>
      <c r="U154" s="2579"/>
      <c r="V154" s="2065"/>
      <c r="W154" s="2066"/>
      <c r="X154" s="2066"/>
      <c r="Y154" s="2066"/>
      <c r="Z154" s="2066"/>
      <c r="AA154" s="2066"/>
      <c r="AB154" s="2066"/>
      <c r="AC154" s="2066"/>
      <c r="AD154" s="2067"/>
      <c r="AE154" s="2068"/>
      <c r="AF154" s="691"/>
      <c r="AG154" s="692"/>
      <c r="AH154" s="692"/>
      <c r="AI154" s="693"/>
      <c r="AJ154" s="693"/>
      <c r="AK154" s="692"/>
      <c r="AL154" s="692"/>
      <c r="AM154" s="692"/>
      <c r="AN154" s="693"/>
      <c r="AO154" s="693"/>
      <c r="AP154" s="2568" t="s">
        <v>428</v>
      </c>
      <c r="AQ154" s="2569"/>
      <c r="AR154" s="2569"/>
      <c r="AS154" s="2569"/>
      <c r="AT154" s="2569"/>
      <c r="AU154" s="2569"/>
      <c r="AV154" s="2569"/>
      <c r="AW154" s="2569"/>
      <c r="AX154" s="2569"/>
      <c r="AY154" s="2570"/>
      <c r="BB154" s="10"/>
      <c r="BC154" s="2601"/>
      <c r="BD154" s="2601"/>
      <c r="BE154" s="1814"/>
      <c r="BF154" s="1814"/>
      <c r="BG154" s="10"/>
      <c r="BH154" s="10"/>
      <c r="BI154" s="10"/>
      <c r="BJ154" s="10"/>
      <c r="BK154" s="10"/>
      <c r="BL154" s="10"/>
      <c r="BM154" s="10"/>
    </row>
    <row r="155" spans="1:65" ht="30" customHeight="1" x14ac:dyDescent="0.25">
      <c r="A155" s="1550"/>
      <c r="B155" s="1815"/>
      <c r="C155" s="1816"/>
      <c r="D155" s="1816"/>
      <c r="E155" s="1816"/>
      <c r="F155" s="1816"/>
      <c r="G155" s="1816"/>
      <c r="H155" s="1816"/>
      <c r="I155" s="1816"/>
      <c r="J155" s="1816"/>
      <c r="K155" s="1817"/>
      <c r="L155" s="1826" t="s">
        <v>151</v>
      </c>
      <c r="M155" s="1827"/>
      <c r="N155" s="1827"/>
      <c r="O155" s="1827"/>
      <c r="P155" s="1827"/>
      <c r="Q155" s="1827"/>
      <c r="R155" s="1827"/>
      <c r="S155" s="1827"/>
      <c r="T155" s="1827"/>
      <c r="U155" s="1828"/>
      <c r="V155" s="2571"/>
      <c r="W155" s="2572"/>
      <c r="X155" s="2572"/>
      <c r="Y155" s="2572"/>
      <c r="Z155" s="2572"/>
      <c r="AA155" s="2572"/>
      <c r="AB155" s="2572"/>
      <c r="AC155" s="2572"/>
      <c r="AD155" s="2572"/>
      <c r="AE155" s="2573"/>
      <c r="AF155" s="694"/>
      <c r="AG155" s="695"/>
      <c r="AH155" s="695"/>
      <c r="AI155" s="696"/>
      <c r="AJ155" s="696"/>
      <c r="AK155" s="695"/>
      <c r="AL155" s="695"/>
      <c r="AM155" s="695"/>
      <c r="AN155" s="696"/>
      <c r="AO155" s="696"/>
      <c r="AP155" s="1826" t="s">
        <v>152</v>
      </c>
      <c r="AQ155" s="1827"/>
      <c r="AR155" s="1827"/>
      <c r="AS155" s="1827"/>
      <c r="AT155" s="1827"/>
      <c r="AU155" s="1827"/>
      <c r="AV155" s="1827"/>
      <c r="AW155" s="1827"/>
      <c r="AX155" s="1827"/>
      <c r="AY155" s="1828"/>
      <c r="BB155" s="10"/>
      <c r="BC155" s="2601"/>
      <c r="BD155" s="2601"/>
      <c r="BE155" s="1814"/>
      <c r="BF155" s="1814"/>
      <c r="BG155" s="10"/>
      <c r="BH155" s="10"/>
      <c r="BI155" s="10"/>
      <c r="BJ155" s="10"/>
      <c r="BK155" s="10"/>
      <c r="BL155" s="10"/>
      <c r="BM155" s="10"/>
    </row>
    <row r="156" spans="1:65" ht="30" customHeight="1" x14ac:dyDescent="0.3">
      <c r="A156" s="1100" t="s">
        <v>183</v>
      </c>
      <c r="B156" s="2594"/>
      <c r="C156" s="2532"/>
      <c r="D156" s="2532"/>
      <c r="E156" s="2532"/>
      <c r="F156" s="2532"/>
      <c r="G156" s="2532"/>
      <c r="H156" s="2532"/>
      <c r="I156" s="2532"/>
      <c r="J156" s="2532"/>
      <c r="K156" s="2595"/>
      <c r="L156" s="2578" t="s">
        <v>426</v>
      </c>
      <c r="M156" s="2578"/>
      <c r="N156" s="2578"/>
      <c r="O156" s="2578"/>
      <c r="P156" s="2578"/>
      <c r="Q156" s="2578"/>
      <c r="R156" s="2578"/>
      <c r="S156" s="2578"/>
      <c r="T156" s="2578"/>
      <c r="U156" s="2579"/>
      <c r="V156" s="2065"/>
      <c r="W156" s="2066"/>
      <c r="X156" s="2066"/>
      <c r="Y156" s="2066"/>
      <c r="Z156" s="2066"/>
      <c r="AA156" s="2066"/>
      <c r="AB156" s="2066"/>
      <c r="AC156" s="2066"/>
      <c r="AD156" s="2067"/>
      <c r="AE156" s="2068"/>
      <c r="AF156" s="2065"/>
      <c r="AG156" s="2066"/>
      <c r="AH156" s="2066"/>
      <c r="AI156" s="2066"/>
      <c r="AJ156" s="2066"/>
      <c r="AK156" s="2066"/>
      <c r="AL156" s="2066"/>
      <c r="AM156" s="2066"/>
      <c r="AN156" s="2066"/>
      <c r="AO156" s="2192"/>
      <c r="AP156" s="2577" t="s">
        <v>428</v>
      </c>
      <c r="AQ156" s="2578"/>
      <c r="AR156" s="2578"/>
      <c r="AS156" s="2578"/>
      <c r="AT156" s="2578"/>
      <c r="AU156" s="2578"/>
      <c r="AV156" s="2578"/>
      <c r="AW156" s="2578"/>
      <c r="AX156" s="2578"/>
      <c r="AY156" s="2579"/>
      <c r="BB156" s="10"/>
      <c r="BC156" s="2601"/>
      <c r="BD156" s="2601"/>
      <c r="BE156" s="1814"/>
      <c r="BF156" s="1814"/>
      <c r="BG156" s="10"/>
      <c r="BH156" s="10"/>
      <c r="BI156" s="10"/>
      <c r="BJ156" s="10"/>
      <c r="BK156" s="10"/>
      <c r="BL156" s="10"/>
      <c r="BM156" s="10"/>
    </row>
    <row r="157" spans="1:65" ht="30" customHeight="1" x14ac:dyDescent="0.25">
      <c r="A157" s="1105"/>
      <c r="B157" s="1815"/>
      <c r="C157" s="1816"/>
      <c r="D157" s="1816"/>
      <c r="E157" s="1816"/>
      <c r="F157" s="1816"/>
      <c r="G157" s="1816"/>
      <c r="H157" s="1816"/>
      <c r="I157" s="1816"/>
      <c r="J157" s="1816"/>
      <c r="K157" s="1817"/>
      <c r="L157" s="1826" t="s">
        <v>151</v>
      </c>
      <c r="M157" s="1827"/>
      <c r="N157" s="1827"/>
      <c r="O157" s="1827"/>
      <c r="P157" s="1827"/>
      <c r="Q157" s="1827"/>
      <c r="R157" s="1827"/>
      <c r="S157" s="1827"/>
      <c r="T157" s="1827"/>
      <c r="U157" s="1828"/>
      <c r="V157" s="2571"/>
      <c r="W157" s="2572"/>
      <c r="X157" s="2572"/>
      <c r="Y157" s="2572"/>
      <c r="Z157" s="2572"/>
      <c r="AA157" s="2572"/>
      <c r="AB157" s="2572"/>
      <c r="AC157" s="2572"/>
      <c r="AD157" s="2572"/>
      <c r="AE157" s="2573"/>
      <c r="AF157" s="2571"/>
      <c r="AG157" s="2572"/>
      <c r="AH157" s="2572"/>
      <c r="AI157" s="2572"/>
      <c r="AJ157" s="2572"/>
      <c r="AK157" s="2572"/>
      <c r="AL157" s="2572"/>
      <c r="AM157" s="2572"/>
      <c r="AN157" s="2572"/>
      <c r="AO157" s="2573"/>
      <c r="AP157" s="1826" t="s">
        <v>152</v>
      </c>
      <c r="AQ157" s="1827"/>
      <c r="AR157" s="1827"/>
      <c r="AS157" s="1827"/>
      <c r="AT157" s="1827"/>
      <c r="AU157" s="1827"/>
      <c r="AV157" s="1827"/>
      <c r="AW157" s="1827"/>
      <c r="AX157" s="1827"/>
      <c r="AY157" s="1828"/>
      <c r="BB157" s="2067"/>
      <c r="BC157" s="2067"/>
      <c r="BD157" s="2067"/>
      <c r="BE157" s="2067"/>
      <c r="BF157" s="2067"/>
      <c r="BG157" s="2067"/>
      <c r="BH157" s="2067"/>
      <c r="BI157" s="2067"/>
      <c r="BJ157" s="2067"/>
      <c r="BK157" s="2067"/>
      <c r="BL157" s="10"/>
      <c r="BM157" s="10"/>
    </row>
    <row r="158" spans="1:65" ht="30" customHeight="1" x14ac:dyDescent="0.3">
      <c r="A158" s="1483" t="s">
        <v>182</v>
      </c>
      <c r="B158" s="2577" t="s">
        <v>435</v>
      </c>
      <c r="C158" s="2578"/>
      <c r="D158" s="2578"/>
      <c r="E158" s="2578"/>
      <c r="F158" s="2578"/>
      <c r="G158" s="2578"/>
      <c r="H158" s="2578"/>
      <c r="I158" s="2578"/>
      <c r="J158" s="2578"/>
      <c r="K158" s="2579"/>
      <c r="L158" s="2590" t="s">
        <v>428</v>
      </c>
      <c r="M158" s="2073"/>
      <c r="N158" s="2073"/>
      <c r="O158" s="2073"/>
      <c r="P158" s="2073"/>
      <c r="Q158" s="2073"/>
      <c r="R158" s="2073"/>
      <c r="S158" s="2073"/>
      <c r="T158" s="2048" t="s">
        <v>569</v>
      </c>
      <c r="U158" s="2049"/>
      <c r="V158" s="2590" t="s">
        <v>113</v>
      </c>
      <c r="W158" s="2073"/>
      <c r="X158" s="2073"/>
      <c r="Y158" s="2073"/>
      <c r="Z158" s="2073"/>
      <c r="AA158" s="2073"/>
      <c r="AB158" s="2073"/>
      <c r="AC158" s="2073"/>
      <c r="AD158" s="2048" t="s">
        <v>569</v>
      </c>
      <c r="AE158" s="2049"/>
      <c r="AF158" s="2583"/>
      <c r="AG158" s="2584"/>
      <c r="AH158" s="2584"/>
      <c r="AI158" s="2584"/>
      <c r="AJ158" s="2584"/>
      <c r="AK158" s="2584"/>
      <c r="AL158" s="2584"/>
      <c r="AM158" s="2584"/>
      <c r="AN158" s="2584"/>
      <c r="AO158" s="2585"/>
      <c r="AP158" s="2589" t="s">
        <v>426</v>
      </c>
      <c r="AQ158" s="2048"/>
      <c r="AR158" s="2048"/>
      <c r="AS158" s="2048"/>
      <c r="AT158" s="2048"/>
      <c r="AU158" s="2048"/>
      <c r="AV158" s="2048"/>
      <c r="AW158" s="2048"/>
      <c r="AX158" s="2048" t="s">
        <v>569</v>
      </c>
      <c r="AY158" s="2049"/>
      <c r="BB158" s="2597"/>
      <c r="BC158" s="2597"/>
      <c r="BD158" s="2597"/>
      <c r="BE158" s="2597"/>
      <c r="BF158" s="2597"/>
      <c r="BG158" s="2597"/>
      <c r="BH158" s="2597"/>
      <c r="BI158" s="2597"/>
      <c r="BJ158" s="2597"/>
      <c r="BK158" s="2597"/>
      <c r="BL158" s="10"/>
      <c r="BM158" s="10"/>
    </row>
    <row r="159" spans="1:65" ht="30" customHeight="1" x14ac:dyDescent="0.25">
      <c r="A159" s="1486"/>
      <c r="B159" s="1826" t="s">
        <v>151</v>
      </c>
      <c r="C159" s="1827"/>
      <c r="D159" s="1827"/>
      <c r="E159" s="1827"/>
      <c r="F159" s="1827"/>
      <c r="G159" s="1827"/>
      <c r="H159" s="1827"/>
      <c r="I159" s="1827"/>
      <c r="J159" s="1827"/>
      <c r="K159" s="1828"/>
      <c r="L159" s="2581" t="s">
        <v>151</v>
      </c>
      <c r="M159" s="2581"/>
      <c r="N159" s="2581"/>
      <c r="O159" s="2581"/>
      <c r="P159" s="2581"/>
      <c r="Q159" s="2581"/>
      <c r="R159" s="2581"/>
      <c r="S159" s="2581"/>
      <c r="T159" s="2581"/>
      <c r="U159" s="2582"/>
      <c r="V159" s="2580" t="s">
        <v>735</v>
      </c>
      <c r="W159" s="2581"/>
      <c r="X159" s="2581"/>
      <c r="Y159" s="2581"/>
      <c r="Z159" s="2581"/>
      <c r="AA159" s="2581"/>
      <c r="AB159" s="2581"/>
      <c r="AC159" s="2581"/>
      <c r="AD159" s="2581"/>
      <c r="AE159" s="2582"/>
      <c r="AF159" s="1815"/>
      <c r="AG159" s="1816"/>
      <c r="AH159" s="1816"/>
      <c r="AI159" s="1816"/>
      <c r="AJ159" s="1816"/>
      <c r="AK159" s="1816"/>
      <c r="AL159" s="1816"/>
      <c r="AM159" s="1816"/>
      <c r="AN159" s="1816"/>
      <c r="AO159" s="1817"/>
      <c r="AP159" s="2581" t="s">
        <v>152</v>
      </c>
      <c r="AQ159" s="2581"/>
      <c r="AR159" s="2581"/>
      <c r="AS159" s="2581"/>
      <c r="AT159" s="2581"/>
      <c r="AU159" s="2581"/>
      <c r="AV159" s="2581"/>
      <c r="AW159" s="2581"/>
      <c r="AX159" s="2581"/>
      <c r="AY159" s="2582"/>
      <c r="BB159" s="2067"/>
      <c r="BC159" s="2067"/>
      <c r="BD159" s="2067"/>
      <c r="BE159" s="2067"/>
      <c r="BF159" s="2067"/>
      <c r="BG159" s="2067"/>
      <c r="BH159" s="2067"/>
      <c r="BI159" s="2067"/>
      <c r="BJ159" s="2067"/>
      <c r="BK159" s="2067"/>
      <c r="BL159" s="10"/>
      <c r="BM159" s="10"/>
    </row>
    <row r="160" spans="1:65" ht="30" customHeight="1" x14ac:dyDescent="0.3">
      <c r="A160" s="1100" t="s">
        <v>184</v>
      </c>
      <c r="B160" s="2568" t="s">
        <v>435</v>
      </c>
      <c r="C160" s="2569"/>
      <c r="D160" s="2569"/>
      <c r="E160" s="2569"/>
      <c r="F160" s="2569"/>
      <c r="G160" s="2569"/>
      <c r="H160" s="2569"/>
      <c r="I160" s="2569"/>
      <c r="J160" s="2569"/>
      <c r="K160" s="2570"/>
      <c r="L160" s="2590" t="s">
        <v>428</v>
      </c>
      <c r="M160" s="2073"/>
      <c r="N160" s="2073"/>
      <c r="O160" s="2073"/>
      <c r="P160" s="2073"/>
      <c r="Q160" s="2073"/>
      <c r="R160" s="2073"/>
      <c r="S160" s="2073"/>
      <c r="T160" s="2048" t="s">
        <v>569</v>
      </c>
      <c r="U160" s="2049"/>
      <c r="V160" s="2590" t="s">
        <v>113</v>
      </c>
      <c r="W160" s="2073"/>
      <c r="X160" s="2073"/>
      <c r="Y160" s="2073"/>
      <c r="Z160" s="2073"/>
      <c r="AA160" s="2073"/>
      <c r="AB160" s="2073"/>
      <c r="AC160" s="2073"/>
      <c r="AD160" s="2048" t="s">
        <v>569</v>
      </c>
      <c r="AE160" s="2049"/>
      <c r="AF160" s="2594"/>
      <c r="AG160" s="2532"/>
      <c r="AH160" s="2532"/>
      <c r="AI160" s="2532"/>
      <c r="AJ160" s="2532"/>
      <c r="AK160" s="2532"/>
      <c r="AL160" s="2532"/>
      <c r="AM160" s="2532"/>
      <c r="AN160" s="2532"/>
      <c r="AO160" s="2595"/>
      <c r="AP160" s="2589" t="s">
        <v>426</v>
      </c>
      <c r="AQ160" s="2048"/>
      <c r="AR160" s="2048"/>
      <c r="AS160" s="2048"/>
      <c r="AT160" s="2048"/>
      <c r="AU160" s="2048"/>
      <c r="AV160" s="2048"/>
      <c r="AW160" s="2048"/>
      <c r="AX160" s="2048" t="s">
        <v>569</v>
      </c>
      <c r="AY160" s="2049"/>
      <c r="BA160" s="20"/>
      <c r="BB160" s="2597"/>
      <c r="BC160" s="2597"/>
      <c r="BD160" s="2597"/>
      <c r="BE160" s="2597"/>
      <c r="BF160" s="2597"/>
      <c r="BG160" s="2597"/>
      <c r="BH160" s="2597"/>
      <c r="BI160" s="2597"/>
      <c r="BJ160" s="2597"/>
      <c r="BK160" s="2597"/>
      <c r="BL160" s="10"/>
      <c r="BM160" s="10"/>
    </row>
    <row r="161" spans="1:65" ht="30" customHeight="1" x14ac:dyDescent="0.3">
      <c r="A161" s="1105"/>
      <c r="B161" s="1826" t="s">
        <v>151</v>
      </c>
      <c r="C161" s="1827"/>
      <c r="D161" s="1827"/>
      <c r="E161" s="1827"/>
      <c r="F161" s="1827"/>
      <c r="G161" s="1827"/>
      <c r="H161" s="1827"/>
      <c r="I161" s="1827"/>
      <c r="J161" s="1827"/>
      <c r="K161" s="1828"/>
      <c r="L161" s="2581" t="s">
        <v>151</v>
      </c>
      <c r="M161" s="2581"/>
      <c r="N161" s="2581"/>
      <c r="O161" s="2581"/>
      <c r="P161" s="2581"/>
      <c r="Q161" s="2581"/>
      <c r="R161" s="2581"/>
      <c r="S161" s="2581"/>
      <c r="T161" s="2581"/>
      <c r="U161" s="2582"/>
      <c r="V161" s="2580" t="s">
        <v>735</v>
      </c>
      <c r="W161" s="2581"/>
      <c r="X161" s="2581"/>
      <c r="Y161" s="2581"/>
      <c r="Z161" s="2581"/>
      <c r="AA161" s="2581"/>
      <c r="AB161" s="2581"/>
      <c r="AC161" s="2581"/>
      <c r="AD161" s="2581"/>
      <c r="AE161" s="2582"/>
      <c r="AF161" s="1815"/>
      <c r="AG161" s="1816"/>
      <c r="AH161" s="1816"/>
      <c r="AI161" s="1816"/>
      <c r="AJ161" s="1816"/>
      <c r="AK161" s="1816"/>
      <c r="AL161" s="1816"/>
      <c r="AM161" s="1816"/>
      <c r="AN161" s="1816"/>
      <c r="AO161" s="1817"/>
      <c r="AP161" s="2581" t="s">
        <v>152</v>
      </c>
      <c r="AQ161" s="2581"/>
      <c r="AR161" s="2581"/>
      <c r="AS161" s="2581"/>
      <c r="AT161" s="2581"/>
      <c r="AU161" s="2581"/>
      <c r="AV161" s="2581"/>
      <c r="AW161" s="2581"/>
      <c r="AX161" s="2581"/>
      <c r="AY161" s="2582"/>
      <c r="BB161" s="2532"/>
      <c r="BC161" s="2532"/>
      <c r="BD161" s="2532"/>
      <c r="BE161" s="2532"/>
      <c r="BF161" s="2532"/>
      <c r="BG161" s="2532"/>
      <c r="BH161" s="2532"/>
      <c r="BI161" s="2532"/>
      <c r="BJ161" s="2532"/>
      <c r="BK161" s="2532"/>
      <c r="BL161" s="10"/>
      <c r="BM161" s="10"/>
    </row>
    <row r="162" spans="1:65" ht="30" customHeight="1" x14ac:dyDescent="0.3">
      <c r="A162" s="1100" t="s">
        <v>185</v>
      </c>
      <c r="B162" s="2577" t="s">
        <v>427</v>
      </c>
      <c r="C162" s="2578"/>
      <c r="D162" s="2578"/>
      <c r="E162" s="2578"/>
      <c r="F162" s="2578"/>
      <c r="G162" s="2578"/>
      <c r="H162" s="2578"/>
      <c r="I162" s="2578"/>
      <c r="J162" s="2578"/>
      <c r="K162" s="2578"/>
      <c r="L162" s="2590" t="s">
        <v>427</v>
      </c>
      <c r="M162" s="2073"/>
      <c r="N162" s="2073"/>
      <c r="O162" s="2073"/>
      <c r="P162" s="2073"/>
      <c r="Q162" s="2073"/>
      <c r="R162" s="2073"/>
      <c r="S162" s="2073"/>
      <c r="T162" s="2073" t="s">
        <v>569</v>
      </c>
      <c r="U162" s="2074"/>
      <c r="V162" s="2590" t="s">
        <v>435</v>
      </c>
      <c r="W162" s="2073"/>
      <c r="X162" s="2073"/>
      <c r="Y162" s="2073"/>
      <c r="Z162" s="2073"/>
      <c r="AA162" s="2073"/>
      <c r="AB162" s="2073"/>
      <c r="AC162" s="2073"/>
      <c r="AD162" s="2048" t="s">
        <v>569</v>
      </c>
      <c r="AE162" s="2049"/>
      <c r="AF162" s="2594"/>
      <c r="AG162" s="2532"/>
      <c r="AH162" s="2532"/>
      <c r="AI162" s="2532"/>
      <c r="AJ162" s="2532"/>
      <c r="AK162" s="2532"/>
      <c r="AL162" s="2532"/>
      <c r="AM162" s="2532"/>
      <c r="AN162" s="2532"/>
      <c r="AO162" s="2595"/>
      <c r="AP162" s="2065"/>
      <c r="AQ162" s="2066"/>
      <c r="AR162" s="2066"/>
      <c r="AS162" s="2066"/>
      <c r="AT162" s="2066"/>
      <c r="AU162" s="2066"/>
      <c r="AV162" s="2066"/>
      <c r="AW162" s="2066"/>
      <c r="AX162" s="2066"/>
      <c r="AY162" s="2192"/>
      <c r="BB162" s="2597"/>
      <c r="BC162" s="2597"/>
      <c r="BD162" s="2597"/>
      <c r="BE162" s="2597"/>
      <c r="BF162" s="2597"/>
      <c r="BG162" s="2597"/>
      <c r="BH162" s="2597"/>
      <c r="BI162" s="2597"/>
      <c r="BJ162" s="2597"/>
      <c r="BK162" s="2597"/>
      <c r="BL162" s="10"/>
      <c r="BM162" s="10"/>
    </row>
    <row r="163" spans="1:65" ht="30" customHeight="1" x14ac:dyDescent="0.25">
      <c r="A163" s="1105"/>
      <c r="B163" s="2615" t="s">
        <v>734</v>
      </c>
      <c r="C163" s="2616"/>
      <c r="D163" s="2616"/>
      <c r="E163" s="2616"/>
      <c r="F163" s="2616"/>
      <c r="G163" s="2616"/>
      <c r="H163" s="2616"/>
      <c r="I163" s="2616"/>
      <c r="J163" s="2616"/>
      <c r="K163" s="2616"/>
      <c r="L163" s="2580" t="s">
        <v>734</v>
      </c>
      <c r="M163" s="2581"/>
      <c r="N163" s="2581"/>
      <c r="O163" s="2581"/>
      <c r="P163" s="2581"/>
      <c r="Q163" s="2581"/>
      <c r="R163" s="2581"/>
      <c r="S163" s="2581"/>
      <c r="T163" s="2581"/>
      <c r="U163" s="2581"/>
      <c r="V163" s="2580" t="s">
        <v>733</v>
      </c>
      <c r="W163" s="2581"/>
      <c r="X163" s="2581"/>
      <c r="Y163" s="2581"/>
      <c r="Z163" s="2581"/>
      <c r="AA163" s="2581"/>
      <c r="AB163" s="2581"/>
      <c r="AC163" s="2581"/>
      <c r="AD163" s="2581"/>
      <c r="AE163" s="2582"/>
      <c r="AF163" s="1815"/>
      <c r="AG163" s="1816"/>
      <c r="AH163" s="1816"/>
      <c r="AI163" s="1816"/>
      <c r="AJ163" s="1816"/>
      <c r="AK163" s="1816"/>
      <c r="AL163" s="1816"/>
      <c r="AM163" s="1816"/>
      <c r="AN163" s="1816"/>
      <c r="AO163" s="1817"/>
      <c r="AP163" s="2571"/>
      <c r="AQ163" s="2572"/>
      <c r="AR163" s="2572"/>
      <c r="AS163" s="2572"/>
      <c r="AT163" s="2572"/>
      <c r="AU163" s="2572"/>
      <c r="AV163" s="2572"/>
      <c r="AW163" s="2572"/>
      <c r="AX163" s="2572"/>
      <c r="AY163" s="2573"/>
      <c r="BA163" s="20"/>
    </row>
    <row r="164" spans="1:65" ht="30" customHeight="1" x14ac:dyDescent="0.3">
      <c r="A164" s="1483" t="s">
        <v>186</v>
      </c>
      <c r="B164" s="2568" t="s">
        <v>427</v>
      </c>
      <c r="C164" s="2569"/>
      <c r="D164" s="2569"/>
      <c r="E164" s="2569"/>
      <c r="F164" s="2569"/>
      <c r="G164" s="2569"/>
      <c r="H164" s="2569"/>
      <c r="I164" s="2569"/>
      <c r="J164" s="2569"/>
      <c r="K164" s="2570"/>
      <c r="L164" s="2590" t="s">
        <v>427</v>
      </c>
      <c r="M164" s="2073"/>
      <c r="N164" s="2073"/>
      <c r="O164" s="2073"/>
      <c r="P164" s="2073"/>
      <c r="Q164" s="2073"/>
      <c r="R164" s="2073"/>
      <c r="S164" s="2073"/>
      <c r="T164" s="2073" t="s">
        <v>569</v>
      </c>
      <c r="U164" s="2074"/>
      <c r="V164" s="2590" t="s">
        <v>435</v>
      </c>
      <c r="W164" s="2073"/>
      <c r="X164" s="2073"/>
      <c r="Y164" s="2073"/>
      <c r="Z164" s="2073"/>
      <c r="AA164" s="2073"/>
      <c r="AB164" s="2073"/>
      <c r="AC164" s="2073"/>
      <c r="AD164" s="2048" t="s">
        <v>569</v>
      </c>
      <c r="AE164" s="2049"/>
      <c r="AF164" s="2583"/>
      <c r="AG164" s="2584"/>
      <c r="AH164" s="2584"/>
      <c r="AI164" s="2584"/>
      <c r="AJ164" s="2584"/>
      <c r="AK164" s="2584"/>
      <c r="AL164" s="2584"/>
      <c r="AM164" s="2584"/>
      <c r="AN164" s="2584"/>
      <c r="AO164" s="2585"/>
      <c r="AP164" s="2065"/>
      <c r="AQ164" s="2066"/>
      <c r="AR164" s="2066"/>
      <c r="AS164" s="2066"/>
      <c r="AT164" s="2066"/>
      <c r="AU164" s="2066"/>
      <c r="AV164" s="2066"/>
      <c r="AW164" s="2066"/>
      <c r="AX164" s="2067"/>
      <c r="AY164" s="2068"/>
    </row>
    <row r="165" spans="1:65" ht="30" customHeight="1" thickBot="1" x14ac:dyDescent="0.3">
      <c r="A165" s="1550"/>
      <c r="B165" s="2612" t="s">
        <v>734</v>
      </c>
      <c r="C165" s="2613"/>
      <c r="D165" s="2613"/>
      <c r="E165" s="2613"/>
      <c r="F165" s="2613"/>
      <c r="G165" s="2613"/>
      <c r="H165" s="2613"/>
      <c r="I165" s="2613"/>
      <c r="J165" s="2613"/>
      <c r="K165" s="2614"/>
      <c r="L165" s="2609" t="s">
        <v>1144</v>
      </c>
      <c r="M165" s="2610"/>
      <c r="N165" s="2610"/>
      <c r="O165" s="2610"/>
      <c r="P165" s="2610"/>
      <c r="Q165" s="2610"/>
      <c r="R165" s="2610"/>
      <c r="S165" s="2610"/>
      <c r="T165" s="2610"/>
      <c r="U165" s="2611"/>
      <c r="V165" s="2609" t="s">
        <v>733</v>
      </c>
      <c r="W165" s="2610"/>
      <c r="X165" s="2610"/>
      <c r="Y165" s="2610"/>
      <c r="Z165" s="2610"/>
      <c r="AA165" s="2610"/>
      <c r="AB165" s="2610"/>
      <c r="AC165" s="2610"/>
      <c r="AD165" s="2610"/>
      <c r="AE165" s="2611"/>
      <c r="AF165" s="1773"/>
      <c r="AG165" s="1774"/>
      <c r="AH165" s="1774"/>
      <c r="AI165" s="1774"/>
      <c r="AJ165" s="1774"/>
      <c r="AK165" s="1774"/>
      <c r="AL165" s="1774"/>
      <c r="AM165" s="1774"/>
      <c r="AN165" s="1774"/>
      <c r="AO165" s="1775"/>
      <c r="AP165" s="2617"/>
      <c r="AQ165" s="2618"/>
      <c r="AR165" s="2618"/>
      <c r="AS165" s="2618"/>
      <c r="AT165" s="2618"/>
      <c r="AU165" s="2618"/>
      <c r="AV165" s="2618"/>
      <c r="AW165" s="2618"/>
      <c r="AX165" s="2618"/>
      <c r="AY165" s="2619"/>
    </row>
    <row r="166" spans="1:65" ht="53.25" customHeight="1" thickBot="1" x14ac:dyDescent="0.3">
      <c r="A166" s="226"/>
    </row>
    <row r="167" spans="1:65" ht="18.75" customHeight="1" x14ac:dyDescent="0.25">
      <c r="A167" s="1684" t="s">
        <v>214</v>
      </c>
      <c r="B167" s="1604"/>
      <c r="C167" s="1293" t="s">
        <v>215</v>
      </c>
      <c r="D167" s="1293"/>
      <c r="E167" s="1293"/>
      <c r="F167" s="1293"/>
      <c r="G167" s="1293"/>
      <c r="H167" s="1293"/>
      <c r="I167" s="1293"/>
      <c r="J167" s="1293"/>
      <c r="K167" s="1293"/>
      <c r="L167" s="1293"/>
      <c r="M167" s="1293"/>
      <c r="N167" s="1293"/>
      <c r="O167" s="1293"/>
      <c r="P167" s="1293"/>
      <c r="Q167" s="1293"/>
      <c r="R167" s="1293"/>
      <c r="S167" s="1293"/>
      <c r="T167" s="1159"/>
      <c r="U167" s="2603" t="s">
        <v>322</v>
      </c>
      <c r="V167" s="2604"/>
      <c r="W167" s="2605" t="s">
        <v>139</v>
      </c>
      <c r="X167" s="1580"/>
      <c r="Y167" s="1580"/>
      <c r="Z167" s="1604"/>
      <c r="AA167" s="2606" t="s">
        <v>163</v>
      </c>
      <c r="AB167" s="2606"/>
      <c r="AC167" s="2606"/>
      <c r="AD167" s="2607"/>
      <c r="AE167" s="2607"/>
      <c r="AF167" s="2607"/>
      <c r="AG167" s="2607"/>
      <c r="AH167" s="2607"/>
      <c r="AI167" s="2607"/>
      <c r="AJ167" s="2607"/>
      <c r="AK167" s="2607"/>
      <c r="AL167" s="2607"/>
      <c r="AM167" s="2607"/>
      <c r="AN167" s="2607"/>
      <c r="AO167" s="2607"/>
      <c r="AP167" s="2607"/>
      <c r="AQ167" s="2607"/>
      <c r="AR167" s="2607"/>
      <c r="AS167" s="2607"/>
      <c r="AT167" s="2607"/>
      <c r="AU167" s="2607"/>
      <c r="AV167" s="2607"/>
      <c r="AW167" s="2607"/>
      <c r="AX167" s="2607"/>
      <c r="AY167" s="2608"/>
    </row>
    <row r="168" spans="1:65" ht="13.8" x14ac:dyDescent="0.25">
      <c r="A168" s="2640" t="str">
        <f>VLOOKUP(U168,ASIGNATURAS!$F$1:$L$1022, 3, FALSE)</f>
        <v>CONTROL</v>
      </c>
      <c r="B168" s="2641"/>
      <c r="C168" s="2642" t="str">
        <f>VLOOKUP(U168,ASIGNATURAS!$F$1:$L$1022, 4, FALSE)</f>
        <v>Control por Computador</v>
      </c>
      <c r="D168" s="2643"/>
      <c r="E168" s="2643"/>
      <c r="F168" s="2643"/>
      <c r="G168" s="2643"/>
      <c r="H168" s="2643"/>
      <c r="I168" s="2643"/>
      <c r="J168" s="2643"/>
      <c r="K168" s="2643"/>
      <c r="L168" s="2643"/>
      <c r="M168" s="2643"/>
      <c r="N168" s="2643"/>
      <c r="O168" s="2643"/>
      <c r="P168" s="2643"/>
      <c r="Q168" s="2643"/>
      <c r="R168" s="2644"/>
      <c r="S168" s="2644"/>
      <c r="T168" s="2645"/>
      <c r="U168" s="936">
        <v>8840</v>
      </c>
      <c r="V168" s="937"/>
      <c r="W168" s="936" t="str">
        <f>VLOOKUP(U168,ASIGNATURAS!$F$1:$L$1022, 5, FALSE)</f>
        <v>6 (OP)</v>
      </c>
      <c r="X168" s="1205"/>
      <c r="Y168" s="1205"/>
      <c r="Z168" s="937"/>
      <c r="AA168" s="2639" t="s">
        <v>1149</v>
      </c>
      <c r="AB168" s="981"/>
      <c r="AC168" s="981"/>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3"/>
    </row>
    <row r="169" spans="1:65" ht="14.25" customHeight="1" x14ac:dyDescent="0.25">
      <c r="A169" s="1188" t="str">
        <f>VLOOKUP(U169,ASIGNATURAS!$F$1:$L$1022, 3, FALSE)</f>
        <v>SIST. DIGITALES</v>
      </c>
      <c r="B169" s="1189"/>
      <c r="C169" s="981" t="str">
        <f>VLOOKUP(U169,ASIGNATURAS!$F$1:$L$1022, 4, FALSE)</f>
        <v>Diseño e Implementación de Sistemas Dig.</v>
      </c>
      <c r="D169" s="982"/>
      <c r="E169" s="982"/>
      <c r="F169" s="982"/>
      <c r="G169" s="982"/>
      <c r="H169" s="982"/>
      <c r="I169" s="982"/>
      <c r="J169" s="982"/>
      <c r="K169" s="982"/>
      <c r="L169" s="982"/>
      <c r="M169" s="982"/>
      <c r="N169" s="982"/>
      <c r="O169" s="982"/>
      <c r="P169" s="982"/>
      <c r="Q169" s="982"/>
      <c r="R169" s="2006"/>
      <c r="S169" s="2006"/>
      <c r="T169" s="983"/>
      <c r="U169" s="936">
        <v>8827</v>
      </c>
      <c r="V169" s="937"/>
      <c r="W169" s="936" t="str">
        <f>VLOOKUP(U169,ASIGNATURAS!$F$1:$L$1022, 5, FALSE)</f>
        <v>6 (OP)</v>
      </c>
      <c r="X169" s="1205"/>
      <c r="Y169" s="1205"/>
      <c r="Z169" s="937"/>
      <c r="AA169" s="2602" t="str">
        <f>VLOOKUP(U169,ASIGNATURAS!$F$1:$L$1022, 6, FALSE)</f>
        <v>Miguel Ángel Lozano Pérez</v>
      </c>
      <c r="AB169" s="2261"/>
      <c r="AC169" s="2261"/>
      <c r="AD169" s="2262"/>
      <c r="AE169" s="2262"/>
      <c r="AF169" s="2262"/>
      <c r="AG169" s="2262"/>
      <c r="AH169" s="2262"/>
      <c r="AI169" s="2262"/>
      <c r="AJ169" s="2262"/>
      <c r="AK169" s="2262"/>
      <c r="AL169" s="2262"/>
      <c r="AM169" s="2262"/>
      <c r="AN169" s="2262"/>
      <c r="AO169" s="2262"/>
      <c r="AP169" s="2262"/>
      <c r="AQ169" s="2262"/>
      <c r="AR169" s="2262"/>
      <c r="AS169" s="2262"/>
      <c r="AT169" s="2262"/>
      <c r="AU169" s="2262"/>
      <c r="AV169" s="2262"/>
      <c r="AW169" s="2262"/>
      <c r="AX169" s="2262"/>
      <c r="AY169" s="2506"/>
    </row>
    <row r="170" spans="1:65" ht="14.25" customHeight="1" x14ac:dyDescent="0.25">
      <c r="A170" s="1188" t="str">
        <f>VLOOKUP(U170,ASIGNATURAS!$F$1:$L$1022, 3, FALSE)</f>
        <v>VALID. Y PRUEB.</v>
      </c>
      <c r="B170" s="1189"/>
      <c r="C170" s="981" t="str">
        <f>VLOOKUP(U170,ASIGNATURAS!$F$1:$L$1022, 4, FALSE)</f>
        <v>Validación y Pruebas</v>
      </c>
      <c r="D170" s="982"/>
      <c r="E170" s="982"/>
      <c r="F170" s="982"/>
      <c r="G170" s="982"/>
      <c r="H170" s="982"/>
      <c r="I170" s="982"/>
      <c r="J170" s="982"/>
      <c r="K170" s="982"/>
      <c r="L170" s="982"/>
      <c r="M170" s="982"/>
      <c r="N170" s="982"/>
      <c r="O170" s="982"/>
      <c r="P170" s="982"/>
      <c r="Q170" s="982"/>
      <c r="R170" s="2006"/>
      <c r="S170" s="2006"/>
      <c r="T170" s="983"/>
      <c r="U170" s="936">
        <v>8828</v>
      </c>
      <c r="V170" s="937"/>
      <c r="W170" s="936" t="str">
        <f>VLOOKUP(U170,ASIGNATURAS!$F$1:$L$1022, 5, FALSE)</f>
        <v>6 (OP)</v>
      </c>
      <c r="X170" s="1205"/>
      <c r="Y170" s="1205"/>
      <c r="Z170" s="937"/>
      <c r="AA170" s="981" t="str">
        <f>VLOOKUP(U170,ASIGNATURAS!$F$1:$L$1022, 6, FALSE)</f>
        <v>Pedro Renedo Fernandez</v>
      </c>
      <c r="AB170" s="981"/>
      <c r="AC170" s="981"/>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3"/>
    </row>
    <row r="171" spans="1:65" ht="14.25" customHeight="1" x14ac:dyDescent="0.25">
      <c r="A171" s="1188" t="str">
        <f>VLOOKUP(U171,ASIGNATURAS!$F$1:$L$1022, 3, FALSE)</f>
        <v>GESTION INFO</v>
      </c>
      <c r="B171" s="1189"/>
      <c r="C171" s="981" t="str">
        <f>VLOOKUP(U171,ASIGNATURAS!$F$1:$L$1022, 4, FALSE)</f>
        <v>Gestión de la Información</v>
      </c>
      <c r="D171" s="982"/>
      <c r="E171" s="982"/>
      <c r="F171" s="982"/>
      <c r="G171" s="982"/>
      <c r="H171" s="982"/>
      <c r="I171" s="982"/>
      <c r="J171" s="982"/>
      <c r="K171" s="982"/>
      <c r="L171" s="982"/>
      <c r="M171" s="982"/>
      <c r="N171" s="982"/>
      <c r="O171" s="982"/>
      <c r="P171" s="982"/>
      <c r="Q171" s="982"/>
      <c r="R171" s="2006"/>
      <c r="S171" s="2006"/>
      <c r="T171" s="983"/>
      <c r="U171" s="936">
        <v>8829</v>
      </c>
      <c r="V171" s="937"/>
      <c r="W171" s="936" t="str">
        <f>VLOOKUP(U171,ASIGNATURAS!$F$1:$L$1022, 5, FALSE)</f>
        <v>6 (OP)</v>
      </c>
      <c r="X171" s="1205"/>
      <c r="Y171" s="1205"/>
      <c r="Z171" s="937"/>
      <c r="AA171" s="981" t="str">
        <f>VLOOKUP(U171,ASIGNATURAS!$F$1:$L$1022, 6, FALSE)</f>
        <v>José Ignacio Santos, José M. Galan Ordax, Virginia Ahedo</v>
      </c>
      <c r="AB171" s="981"/>
      <c r="AC171" s="981"/>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3"/>
    </row>
    <row r="172" spans="1:65" ht="14.25" customHeight="1" x14ac:dyDescent="0.25">
      <c r="A172" s="1188" t="str">
        <f>VLOOKUP(U172,ASIGNATURAS!$F$1:$L$1022, 3, FALSE)</f>
        <v>DIS-MAN SOFT</v>
      </c>
      <c r="B172" s="1189"/>
      <c r="C172" s="981" t="str">
        <f>VLOOKUP(U172,ASIGNATURAS!$F$1:$L$1022, 4, FALSE)</f>
        <v>Diseño y Mantenimiento del Software</v>
      </c>
      <c r="D172" s="982"/>
      <c r="E172" s="982"/>
      <c r="F172" s="982"/>
      <c r="G172" s="982"/>
      <c r="H172" s="982"/>
      <c r="I172" s="982"/>
      <c r="J172" s="982"/>
      <c r="K172" s="982"/>
      <c r="L172" s="982"/>
      <c r="M172" s="982"/>
      <c r="N172" s="982"/>
      <c r="O172" s="982"/>
      <c r="P172" s="982"/>
      <c r="Q172" s="982"/>
      <c r="R172" s="2006"/>
      <c r="S172" s="2006"/>
      <c r="T172" s="983"/>
      <c r="U172" s="936">
        <v>8830</v>
      </c>
      <c r="V172" s="937"/>
      <c r="W172" s="936" t="str">
        <f>VLOOKUP(U172,ASIGNATURAS!$F$1:$L$1022, 5, FALSE)</f>
        <v>6 (OP)</v>
      </c>
      <c r="X172" s="1205"/>
      <c r="Y172" s="1205"/>
      <c r="Z172" s="937"/>
      <c r="AA172" s="981" t="str">
        <f>VLOOKUP(U172,ASIGNATURAS!$F$1:$L$1022, 6, FALSE)</f>
        <v>Carlos López Nozal, Jesús Alonso Abad</v>
      </c>
      <c r="AB172" s="981"/>
      <c r="AC172" s="981"/>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3"/>
    </row>
    <row r="173" spans="1:65" ht="13.8" x14ac:dyDescent="0.25">
      <c r="A173" s="1188" t="str">
        <f>VLOOKUP(U173,ASIGNATURAS!$F$1:$L$1022, 3, FALSE)</f>
        <v>ORG. Y GEST.</v>
      </c>
      <c r="B173" s="1189"/>
      <c r="C173" s="981" t="str">
        <f>VLOOKUP(U173,ASIGNATURAS!$F$1:$L$1022, 4, FALSE)</f>
        <v>Organización y Gestión de Empresas</v>
      </c>
      <c r="D173" s="982"/>
      <c r="E173" s="982"/>
      <c r="F173" s="982"/>
      <c r="G173" s="982"/>
      <c r="H173" s="982"/>
      <c r="I173" s="982"/>
      <c r="J173" s="982"/>
      <c r="K173" s="982"/>
      <c r="L173" s="982"/>
      <c r="M173" s="982"/>
      <c r="N173" s="982"/>
      <c r="O173" s="982"/>
      <c r="P173" s="982"/>
      <c r="Q173" s="982"/>
      <c r="R173" s="2006"/>
      <c r="S173" s="2006"/>
      <c r="T173" s="983"/>
      <c r="U173" s="936">
        <v>8831</v>
      </c>
      <c r="V173" s="937"/>
      <c r="W173" s="936" t="str">
        <f>VLOOKUP(U173,ASIGNATURAS!$F$1:$L$1022, 5, FALSE)</f>
        <v>6 (OP)</v>
      </c>
      <c r="X173" s="1205"/>
      <c r="Y173" s="1205"/>
      <c r="Z173" s="937"/>
      <c r="AA173" s="981" t="str">
        <f>VLOOKUP(U173,ASIGNATURAS!$F$1:$L$1022, 6, FALSE)</f>
        <v>J. Manuel Galan Ordax, José Ignacio Santos</v>
      </c>
      <c r="AB173" s="981"/>
      <c r="AC173" s="981"/>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3"/>
    </row>
    <row r="174" spans="1:65" ht="14.25" customHeight="1" x14ac:dyDescent="0.25">
      <c r="A174" s="1188" t="str">
        <f>VLOOKUP(U174,ASIGNATURAS!$F$1:$L$1022, 3, FALSE)</f>
        <v>MANT. EQUIPOS</v>
      </c>
      <c r="B174" s="1189"/>
      <c r="C174" s="981" t="str">
        <f>VLOOKUP(U174,ASIGNATURAS!$F$1:$L$1022, 4, FALSE)</f>
        <v>Mantenimiento de Equipos Informáticos</v>
      </c>
      <c r="D174" s="982"/>
      <c r="E174" s="982"/>
      <c r="F174" s="982"/>
      <c r="G174" s="982"/>
      <c r="H174" s="982"/>
      <c r="I174" s="982"/>
      <c r="J174" s="982"/>
      <c r="K174" s="982"/>
      <c r="L174" s="982"/>
      <c r="M174" s="982"/>
      <c r="N174" s="982"/>
      <c r="O174" s="982"/>
      <c r="P174" s="982"/>
      <c r="Q174" s="982"/>
      <c r="R174" s="2006"/>
      <c r="S174" s="2006"/>
      <c r="T174" s="983"/>
      <c r="U174" s="936">
        <v>8832</v>
      </c>
      <c r="V174" s="937"/>
      <c r="W174" s="936" t="str">
        <f>VLOOKUP(U174,ASIGNATURAS!$F$1:$L$1022, 5, FALSE)</f>
        <v>6 (OP)</v>
      </c>
      <c r="X174" s="1205"/>
      <c r="Y174" s="1205"/>
      <c r="Z174" s="937"/>
      <c r="AA174" s="981" t="str">
        <f>VLOOKUP(U174,ASIGNATURAS!$F$1:$L$1022, 6, FALSE)</f>
        <v>Ignacio Moreno Velasco</v>
      </c>
      <c r="AB174" s="981"/>
      <c r="AC174" s="981"/>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3"/>
    </row>
    <row r="175" spans="1:65" ht="13.8" x14ac:dyDescent="0.25">
      <c r="A175" s="1188" t="str">
        <f>VLOOKUP(U175,ASIGNATURAS!$F$1:$L$1022, 3, FALSE)</f>
        <v>HARD ESP</v>
      </c>
      <c r="B175" s="1189"/>
      <c r="C175" s="981" t="str">
        <f>VLOOKUP(U175,ASIGNATURAS!$F$1:$L$1022, 4, FALSE)</f>
        <v>Hardware de Aplicación Específica</v>
      </c>
      <c r="D175" s="982"/>
      <c r="E175" s="982"/>
      <c r="F175" s="982"/>
      <c r="G175" s="982"/>
      <c r="H175" s="982"/>
      <c r="I175" s="982"/>
      <c r="J175" s="982"/>
      <c r="K175" s="982"/>
      <c r="L175" s="982"/>
      <c r="M175" s="982"/>
      <c r="N175" s="982"/>
      <c r="O175" s="982"/>
      <c r="P175" s="982"/>
      <c r="Q175" s="982"/>
      <c r="R175" s="2006"/>
      <c r="S175" s="2006"/>
      <c r="T175" s="983"/>
      <c r="U175" s="936">
        <v>8833</v>
      </c>
      <c r="V175" s="937"/>
      <c r="W175" s="936" t="str">
        <f>VLOOKUP(U175,ASIGNATURAS!$F$1:$L$1022, 5, FALSE)</f>
        <v>6 (OP)</v>
      </c>
      <c r="X175" s="1205"/>
      <c r="Y175" s="1205"/>
      <c r="Z175" s="937"/>
      <c r="AA175" s="981" t="str">
        <f>VLOOKUP(U175,ASIGNATURAS!$F$1:$L$1022, 6, FALSE)</f>
        <v>César Represa Pérez</v>
      </c>
      <c r="AB175" s="981"/>
      <c r="AC175" s="981"/>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3"/>
    </row>
    <row r="176" spans="1:65" ht="14.25" customHeight="1" x14ac:dyDescent="0.25">
      <c r="A176" s="1188" t="str">
        <f>VLOOKUP(U176,ASIGNATURAS!$F$1:$L$1022, 3, FALSE)</f>
        <v>COMP. NEURONAL</v>
      </c>
      <c r="B176" s="1189"/>
      <c r="C176" s="981" t="str">
        <f>VLOOKUP(U176,ASIGNATURAS!$F$1:$L$1022, 4, FALSE)</f>
        <v>Computación Neuronal y Evolutiva</v>
      </c>
      <c r="D176" s="982"/>
      <c r="E176" s="982"/>
      <c r="F176" s="982"/>
      <c r="G176" s="982"/>
      <c r="H176" s="982"/>
      <c r="I176" s="982"/>
      <c r="J176" s="982"/>
      <c r="K176" s="982"/>
      <c r="L176" s="982"/>
      <c r="M176" s="982"/>
      <c r="N176" s="982"/>
      <c r="O176" s="982"/>
      <c r="P176" s="982"/>
      <c r="Q176" s="982"/>
      <c r="R176" s="2006"/>
      <c r="S176" s="2006"/>
      <c r="T176" s="983"/>
      <c r="U176" s="936">
        <v>8834</v>
      </c>
      <c r="V176" s="937"/>
      <c r="W176" s="936" t="str">
        <f>VLOOKUP(U176,ASIGNATURAS!$F$1:$L$1022, 5, FALSE)</f>
        <v>6 (OP)</v>
      </c>
      <c r="X176" s="1205"/>
      <c r="Y176" s="1205"/>
      <c r="Z176" s="937"/>
      <c r="AA176" s="981" t="str">
        <f>VLOOKUP(U176,ASIGNATURAS!$F$1:$L$1022, 6, FALSE)</f>
        <v>Daniel Urda, Bruno Baruque Zanón</v>
      </c>
      <c r="AB176" s="981"/>
      <c r="AC176" s="981"/>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3"/>
    </row>
    <row r="177" spans="1:65" ht="14.4" thickBot="1" x14ac:dyDescent="0.3">
      <c r="A177" s="2624" t="str">
        <f>VLOOKUP(U177,ASIGNATURAS!$F$1:$L$1022, 3, FALSE)</f>
        <v>PROG. S.O.</v>
      </c>
      <c r="B177" s="2625"/>
      <c r="C177" s="2626" t="str">
        <f>VLOOKUP(U177,ASIGNATURAS!$F$1:$L$1022, 4, FALSE)</f>
        <v>Programación de Sistemas Operativos</v>
      </c>
      <c r="D177" s="2627"/>
      <c r="E177" s="2627"/>
      <c r="F177" s="2627"/>
      <c r="G177" s="2627"/>
      <c r="H177" s="2627"/>
      <c r="I177" s="2627"/>
      <c r="J177" s="2627"/>
      <c r="K177" s="2627"/>
      <c r="L177" s="2627"/>
      <c r="M177" s="2627"/>
      <c r="N177" s="2627"/>
      <c r="O177" s="2627"/>
      <c r="P177" s="2627"/>
      <c r="Q177" s="2627"/>
      <c r="R177" s="2628"/>
      <c r="S177" s="2628"/>
      <c r="T177" s="2629"/>
      <c r="U177" s="2620">
        <v>8841</v>
      </c>
      <c r="V177" s="1296"/>
      <c r="W177" s="2621" t="str">
        <f>VLOOKUP(U177,ASIGNATURAS!$F$1:$L$1022, 5, FALSE)</f>
        <v>6 (OP)</v>
      </c>
      <c r="X177" s="2622"/>
      <c r="Y177" s="2622"/>
      <c r="Z177" s="2623"/>
      <c r="AA177" s="1513" t="s">
        <v>1149</v>
      </c>
      <c r="AB177" s="1022"/>
      <c r="AC177" s="1022"/>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4"/>
    </row>
    <row r="180" spans="1:65" ht="18.75" customHeight="1" x14ac:dyDescent="0.25">
      <c r="A180" s="1145" t="s">
        <v>165</v>
      </c>
      <c r="B180" s="1145"/>
      <c r="C180" s="1145"/>
      <c r="D180" s="1145"/>
      <c r="E180" s="1145"/>
      <c r="F180" s="1145"/>
      <c r="G180" s="1145"/>
      <c r="H180" s="270"/>
      <c r="I180" s="270"/>
    </row>
    <row r="181" spans="1:65" ht="18.75" customHeight="1" x14ac:dyDescent="0.25">
      <c r="A181" s="1148" t="s">
        <v>1006</v>
      </c>
      <c r="B181" s="1148"/>
      <c r="C181" s="1148"/>
      <c r="D181" s="1148"/>
      <c r="E181" s="1148"/>
      <c r="F181" s="1148"/>
      <c r="G181" s="1148"/>
      <c r="H181" s="270"/>
      <c r="I181" s="270"/>
    </row>
    <row r="183" spans="1:65" x14ac:dyDescent="0.25">
      <c r="A183" s="20" t="s">
        <v>213</v>
      </c>
    </row>
    <row r="184" spans="1:65" ht="13.8" thickBot="1" x14ac:dyDescent="0.3"/>
    <row r="185" spans="1:65" s="1" customFormat="1" ht="31.5" customHeight="1" thickBot="1" x14ac:dyDescent="0.45">
      <c r="A185" s="1135" t="str">
        <f>VLOOKUP(A188,ASIGNATURAS!$A$2:$D$151, 3, FALSE)</f>
        <v>4º Grado en Ingeniería Informática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1064" t="str">
        <f>AP1</f>
        <v>Curso 2024-2025</v>
      </c>
      <c r="AQ185" s="1065"/>
      <c r="AR185" s="1065"/>
      <c r="AS185" s="1065"/>
      <c r="AT185" s="1065"/>
      <c r="AU185" s="1065"/>
      <c r="AV185" s="1065"/>
      <c r="AW185" s="1065"/>
      <c r="AX185" s="1065"/>
      <c r="AY185" s="1066"/>
      <c r="BD185" s="771"/>
      <c r="BE185" s="771"/>
      <c r="BF185" s="771"/>
      <c r="BG185" s="771"/>
      <c r="BH185" s="771"/>
      <c r="BI185" s="771"/>
      <c r="BJ185" s="771"/>
      <c r="BK185" s="771"/>
      <c r="BL185" s="771"/>
      <c r="BM185" s="771"/>
    </row>
    <row r="186" spans="1:65" s="8" customFormat="1" ht="23.25" customHeight="1" thickBot="1" x14ac:dyDescent="0.45">
      <c r="A186" s="1132" t="str">
        <f>VLOOKUP(A188,ASIGNATURAS!$A$2:$D$151, 2, FALSE)</f>
        <v>Semestre temporal: 2º        (8º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013" t="s">
        <v>1082</v>
      </c>
      <c r="AQ186" s="1013"/>
      <c r="AR186" s="1013"/>
      <c r="AS186" s="1013"/>
      <c r="AT186" s="1013"/>
      <c r="AU186" s="1013"/>
      <c r="AV186" s="1013"/>
      <c r="AW186" s="1013"/>
      <c r="AX186" s="1013"/>
      <c r="AY186" s="1014"/>
      <c r="BD186" s="772"/>
      <c r="BE186" s="772"/>
      <c r="BF186" s="2668"/>
      <c r="BG186" s="2668"/>
      <c r="BH186" s="2668"/>
      <c r="BI186" s="2675"/>
      <c r="BJ186" s="1792"/>
      <c r="BK186" s="772"/>
      <c r="BL186" s="772"/>
      <c r="BM186" s="772"/>
    </row>
    <row r="187" spans="1:65" s="8" customFormat="1" ht="23.25" customHeight="1" thickBot="1" x14ac:dyDescent="0.45">
      <c r="A187" s="1132" t="s">
        <v>526</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015"/>
      <c r="AQ187" s="1015"/>
      <c r="AR187" s="1015"/>
      <c r="AS187" s="1015"/>
      <c r="AT187" s="1015"/>
      <c r="AU187" s="1015"/>
      <c r="AV187" s="1015"/>
      <c r="AW187" s="1015"/>
      <c r="AX187" s="1015"/>
      <c r="AY187" s="1016"/>
      <c r="BD187" s="772"/>
      <c r="BE187" s="772"/>
      <c r="BF187" s="1814"/>
      <c r="BG187" s="1814"/>
      <c r="BH187" s="1814"/>
      <c r="BI187" s="1360"/>
      <c r="BJ187" s="1793"/>
      <c r="BK187" s="772"/>
      <c r="BL187" s="772"/>
      <c r="BM187" s="772"/>
    </row>
    <row r="188" spans="1:65" ht="38.25" customHeight="1" thickBot="1" x14ac:dyDescent="0.3">
      <c r="A188" s="90" t="s">
        <v>73</v>
      </c>
      <c r="AY188" s="32"/>
      <c r="BD188" s="10"/>
      <c r="BE188" s="10"/>
      <c r="BF188" s="1814"/>
      <c r="BG188" s="1814"/>
      <c r="BH188" s="1814"/>
      <c r="BI188" s="1360"/>
      <c r="BJ188" s="1793"/>
      <c r="BK188" s="10"/>
      <c r="BL188" s="10"/>
      <c r="BM188" s="10"/>
    </row>
    <row r="189" spans="1:65" s="2" customFormat="1" ht="18" customHeight="1" thickBot="1" x14ac:dyDescent="0.3">
      <c r="A189" s="19" t="s">
        <v>1</v>
      </c>
      <c r="B189" s="975" t="s">
        <v>2</v>
      </c>
      <c r="C189" s="976"/>
      <c r="D189" s="976"/>
      <c r="E189" s="976"/>
      <c r="F189" s="976"/>
      <c r="G189" s="976"/>
      <c r="H189" s="976"/>
      <c r="I189" s="976"/>
      <c r="J189" s="976"/>
      <c r="K189" s="977"/>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975" t="s">
        <v>4</v>
      </c>
      <c r="AG189" s="976"/>
      <c r="AH189" s="976"/>
      <c r="AI189" s="976"/>
      <c r="AJ189" s="976"/>
      <c r="AK189" s="976"/>
      <c r="AL189" s="976"/>
      <c r="AM189" s="976"/>
      <c r="AN189" s="976"/>
      <c r="AO189" s="977"/>
      <c r="AP189" s="975" t="s">
        <v>5</v>
      </c>
      <c r="AQ189" s="976"/>
      <c r="AR189" s="976"/>
      <c r="AS189" s="976"/>
      <c r="AT189" s="976"/>
      <c r="AU189" s="976"/>
      <c r="AV189" s="976"/>
      <c r="AW189" s="976"/>
      <c r="AX189" s="976"/>
      <c r="AY189" s="977"/>
      <c r="AZ189"/>
      <c r="BA189"/>
      <c r="BB189"/>
      <c r="BC189"/>
      <c r="BD189" s="10"/>
      <c r="BE189" s="10"/>
      <c r="BF189" s="1936"/>
      <c r="BG189" s="1936"/>
      <c r="BH189" s="1936"/>
      <c r="BI189" s="1361"/>
      <c r="BJ189" s="1919"/>
      <c r="BK189" s="10"/>
      <c r="BL189" s="10"/>
      <c r="BM189" s="277"/>
    </row>
    <row r="190" spans="1:65" ht="30" customHeight="1" x14ac:dyDescent="0.3">
      <c r="A190" s="1128" t="s">
        <v>1091</v>
      </c>
      <c r="B190" s="2599" t="s">
        <v>432</v>
      </c>
      <c r="C190" s="2600"/>
      <c r="D190" s="2600"/>
      <c r="E190" s="2600"/>
      <c r="F190" s="2600"/>
      <c r="G190" s="2600"/>
      <c r="H190" s="2600"/>
      <c r="I190" s="2600"/>
      <c r="J190" s="2073" t="s">
        <v>569</v>
      </c>
      <c r="K190" s="2074"/>
      <c r="L190" s="2633" t="s">
        <v>432</v>
      </c>
      <c r="M190" s="2634"/>
      <c r="N190" s="2634"/>
      <c r="O190" s="2634"/>
      <c r="P190" s="2634"/>
      <c r="Q190" s="2634"/>
      <c r="R190" s="2634"/>
      <c r="S190" s="2634"/>
      <c r="T190" s="2634"/>
      <c r="U190" s="2635"/>
      <c r="V190" s="2669" t="s">
        <v>433</v>
      </c>
      <c r="W190" s="2670"/>
      <c r="X190" s="2670"/>
      <c r="Y190" s="2670"/>
      <c r="Z190" s="2670"/>
      <c r="AA190" s="2670"/>
      <c r="AB190" s="2670"/>
      <c r="AC190" s="2670"/>
      <c r="AD190" s="2670" t="s">
        <v>569</v>
      </c>
      <c r="AE190" s="2671"/>
      <c r="AF190" s="2664"/>
      <c r="AG190" s="2665"/>
      <c r="AH190" s="2665"/>
      <c r="AI190" s="2665"/>
      <c r="AJ190" s="2665"/>
      <c r="AK190" s="2665"/>
      <c r="AL190" s="2665"/>
      <c r="AM190" s="2665"/>
      <c r="AN190" s="2666"/>
      <c r="AO190" s="2667"/>
      <c r="AP190" s="2693" t="s">
        <v>433</v>
      </c>
      <c r="AQ190" s="2694"/>
      <c r="AR190" s="2694"/>
      <c r="AS190" s="2694"/>
      <c r="AT190" s="2694"/>
      <c r="AU190" s="2694"/>
      <c r="AV190" s="2694"/>
      <c r="AW190" s="2694"/>
      <c r="AX190" s="2694"/>
      <c r="AY190" s="2695"/>
      <c r="BD190" s="10"/>
      <c r="BE190" s="10"/>
      <c r="BF190" s="2668"/>
      <c r="BG190" s="2668"/>
      <c r="BH190" s="2668"/>
      <c r="BI190" s="2675"/>
      <c r="BJ190" s="1926"/>
      <c r="BK190" s="10"/>
      <c r="BL190" s="10"/>
      <c r="BM190" s="10"/>
    </row>
    <row r="191" spans="1:65" ht="30" customHeight="1" x14ac:dyDescent="0.25">
      <c r="A191" s="1105"/>
      <c r="B191" s="2580" t="s">
        <v>733</v>
      </c>
      <c r="C191" s="2581"/>
      <c r="D191" s="2581"/>
      <c r="E191" s="2581"/>
      <c r="F191" s="2581"/>
      <c r="G191" s="2581"/>
      <c r="H191" s="2581"/>
      <c r="I191" s="2581"/>
      <c r="J191" s="2581"/>
      <c r="K191" s="2582"/>
      <c r="L191" s="2615" t="s">
        <v>733</v>
      </c>
      <c r="M191" s="2616"/>
      <c r="N191" s="2616"/>
      <c r="O191" s="2616"/>
      <c r="P191" s="2616"/>
      <c r="Q191" s="2616"/>
      <c r="R191" s="2616"/>
      <c r="S191" s="2616"/>
      <c r="T191" s="2616"/>
      <c r="U191" s="2630"/>
      <c r="V191" s="2672" t="s">
        <v>155</v>
      </c>
      <c r="W191" s="2673"/>
      <c r="X191" s="2673"/>
      <c r="Y191" s="2673"/>
      <c r="Z191" s="2673"/>
      <c r="AA191" s="2673"/>
      <c r="AB191" s="2673"/>
      <c r="AC191" s="2673"/>
      <c r="AD191" s="2673"/>
      <c r="AE191" s="2674"/>
      <c r="AF191" s="2652"/>
      <c r="AG191" s="2653"/>
      <c r="AH191" s="2653"/>
      <c r="AI191" s="2653"/>
      <c r="AJ191" s="2653"/>
      <c r="AK191" s="2653"/>
      <c r="AL191" s="2653"/>
      <c r="AM191" s="2653"/>
      <c r="AN191" s="2653"/>
      <c r="AO191" s="2654"/>
      <c r="AP191" s="2676" t="s">
        <v>155</v>
      </c>
      <c r="AQ191" s="2677"/>
      <c r="AR191" s="2677"/>
      <c r="AS191" s="2677"/>
      <c r="AT191" s="2677"/>
      <c r="AU191" s="2677"/>
      <c r="AV191" s="2677"/>
      <c r="AW191" s="2677"/>
      <c r="AX191" s="2677"/>
      <c r="AY191" s="2678"/>
      <c r="BA191" s="20"/>
      <c r="BD191" s="10"/>
      <c r="BE191" s="10"/>
      <c r="BF191" s="1814"/>
      <c r="BG191" s="1814"/>
      <c r="BH191" s="1814"/>
      <c r="BI191" s="1360"/>
      <c r="BJ191" s="1793"/>
      <c r="BK191" s="10"/>
      <c r="BL191" s="10"/>
      <c r="BM191" s="10"/>
    </row>
    <row r="192" spans="1:65" ht="30" customHeight="1" x14ac:dyDescent="0.3">
      <c r="A192" s="1100" t="s">
        <v>183</v>
      </c>
      <c r="B192" s="2599" t="s">
        <v>432</v>
      </c>
      <c r="C192" s="2600"/>
      <c r="D192" s="2600"/>
      <c r="E192" s="2600"/>
      <c r="F192" s="2600"/>
      <c r="G192" s="2600"/>
      <c r="H192" s="2600"/>
      <c r="I192" s="2600"/>
      <c r="J192" s="2073" t="s">
        <v>569</v>
      </c>
      <c r="K192" s="2074"/>
      <c r="L192" s="2577" t="s">
        <v>432</v>
      </c>
      <c r="M192" s="2578"/>
      <c r="N192" s="2578"/>
      <c r="O192" s="2578"/>
      <c r="P192" s="2578"/>
      <c r="Q192" s="2578"/>
      <c r="R192" s="2578"/>
      <c r="S192" s="2578"/>
      <c r="T192" s="2578"/>
      <c r="U192" s="2579"/>
      <c r="V192" s="2669" t="s">
        <v>433</v>
      </c>
      <c r="W192" s="2670"/>
      <c r="X192" s="2670"/>
      <c r="Y192" s="2670"/>
      <c r="Z192" s="2670"/>
      <c r="AA192" s="2670"/>
      <c r="AB192" s="2670"/>
      <c r="AC192" s="2670"/>
      <c r="AD192" s="2670" t="s">
        <v>569</v>
      </c>
      <c r="AE192" s="2671"/>
      <c r="AF192" s="2664"/>
      <c r="AG192" s="2665"/>
      <c r="AH192" s="2665"/>
      <c r="AI192" s="2665"/>
      <c r="AJ192" s="2665"/>
      <c r="AK192" s="2665"/>
      <c r="AL192" s="2665"/>
      <c r="AM192" s="2665"/>
      <c r="AN192" s="2666"/>
      <c r="AO192" s="2667"/>
      <c r="AP192" s="2696" t="s">
        <v>433</v>
      </c>
      <c r="AQ192" s="2697"/>
      <c r="AR192" s="2697"/>
      <c r="AS192" s="2697"/>
      <c r="AT192" s="2697"/>
      <c r="AU192" s="2697"/>
      <c r="AV192" s="2697"/>
      <c r="AW192" s="2697"/>
      <c r="AX192" s="2697"/>
      <c r="AY192" s="2698"/>
      <c r="BD192" s="10"/>
      <c r="BE192" s="10"/>
      <c r="BF192" s="1814"/>
      <c r="BG192" s="1814"/>
      <c r="BH192" s="1814"/>
      <c r="BI192" s="1360"/>
      <c r="BJ192" s="1793"/>
      <c r="BK192" s="10"/>
      <c r="BL192" s="10"/>
      <c r="BM192" s="10"/>
    </row>
    <row r="193" spans="1:71" ht="30" customHeight="1" x14ac:dyDescent="0.25">
      <c r="A193" s="1105"/>
      <c r="B193" s="2580" t="s">
        <v>733</v>
      </c>
      <c r="C193" s="2581"/>
      <c r="D193" s="2581"/>
      <c r="E193" s="2581"/>
      <c r="F193" s="2581"/>
      <c r="G193" s="2581"/>
      <c r="H193" s="2581"/>
      <c r="I193" s="2581"/>
      <c r="J193" s="2581"/>
      <c r="K193" s="2582"/>
      <c r="L193" s="2615" t="s">
        <v>733</v>
      </c>
      <c r="M193" s="2616"/>
      <c r="N193" s="2616"/>
      <c r="O193" s="2616"/>
      <c r="P193" s="2616"/>
      <c r="Q193" s="2616"/>
      <c r="R193" s="2616"/>
      <c r="S193" s="2616"/>
      <c r="T193" s="2616"/>
      <c r="U193" s="2630"/>
      <c r="V193" s="2672" t="s">
        <v>155</v>
      </c>
      <c r="W193" s="2673"/>
      <c r="X193" s="2673"/>
      <c r="Y193" s="2673"/>
      <c r="Z193" s="2673"/>
      <c r="AA193" s="2673"/>
      <c r="AB193" s="2673"/>
      <c r="AC193" s="2673"/>
      <c r="AD193" s="2673"/>
      <c r="AE193" s="2674"/>
      <c r="AF193" s="2652"/>
      <c r="AG193" s="2653"/>
      <c r="AH193" s="2653"/>
      <c r="AI193" s="2653"/>
      <c r="AJ193" s="2653"/>
      <c r="AK193" s="2653"/>
      <c r="AL193" s="2653"/>
      <c r="AM193" s="2653"/>
      <c r="AN193" s="2653"/>
      <c r="AO193" s="2654"/>
      <c r="AP193" s="2676" t="s">
        <v>155</v>
      </c>
      <c r="AQ193" s="2677"/>
      <c r="AR193" s="2677"/>
      <c r="AS193" s="2677"/>
      <c r="AT193" s="2677"/>
      <c r="AU193" s="2677"/>
      <c r="AV193" s="2677"/>
      <c r="AW193" s="2677"/>
      <c r="AX193" s="2677"/>
      <c r="AY193" s="2678"/>
      <c r="BA193" s="10"/>
      <c r="BB193" s="10"/>
      <c r="BC193" s="10"/>
      <c r="BD193" s="10"/>
      <c r="BE193" s="10"/>
      <c r="BF193" s="1936"/>
      <c r="BG193" s="1936"/>
      <c r="BH193" s="1936"/>
      <c r="BI193" s="1361"/>
      <c r="BJ193" s="1919"/>
      <c r="BK193" s="10"/>
      <c r="BL193" s="10"/>
      <c r="BM193" s="10"/>
      <c r="BN193" s="10"/>
      <c r="BO193" s="10"/>
      <c r="BP193" s="10"/>
      <c r="BQ193" s="10"/>
      <c r="BR193" s="10"/>
      <c r="BS193" s="10"/>
    </row>
    <row r="194" spans="1:71" ht="30" customHeight="1" x14ac:dyDescent="0.3">
      <c r="A194" s="1100" t="s">
        <v>182</v>
      </c>
      <c r="B194" s="2599" t="s">
        <v>1340</v>
      </c>
      <c r="C194" s="2600"/>
      <c r="D194" s="2600"/>
      <c r="E194" s="2600"/>
      <c r="F194" s="2600"/>
      <c r="G194" s="2600"/>
      <c r="H194" s="2600"/>
      <c r="I194" s="2600"/>
      <c r="J194" s="2073" t="s">
        <v>569</v>
      </c>
      <c r="K194" s="2074"/>
      <c r="L194" s="2633" t="s">
        <v>434</v>
      </c>
      <c r="M194" s="2634"/>
      <c r="N194" s="2634"/>
      <c r="O194" s="2634"/>
      <c r="P194" s="2634"/>
      <c r="Q194" s="2634"/>
      <c r="R194" s="2634"/>
      <c r="S194" s="2634"/>
      <c r="T194" s="2634"/>
      <c r="U194" s="2635"/>
      <c r="V194" s="2599" t="s">
        <v>1340</v>
      </c>
      <c r="W194" s="2600"/>
      <c r="X194" s="2600"/>
      <c r="Y194" s="2600"/>
      <c r="Z194" s="2600"/>
      <c r="AA194" s="2600"/>
      <c r="AB194" s="2600"/>
      <c r="AC194" s="2600"/>
      <c r="AD194" s="2073" t="s">
        <v>570</v>
      </c>
      <c r="AE194" s="2074"/>
      <c r="AF194" s="2599" t="s">
        <v>434</v>
      </c>
      <c r="AG194" s="2600"/>
      <c r="AH194" s="2600"/>
      <c r="AI194" s="2600"/>
      <c r="AJ194" s="2600"/>
      <c r="AK194" s="2600"/>
      <c r="AL194" s="2600"/>
      <c r="AM194" s="2600"/>
      <c r="AN194" s="2073" t="s">
        <v>569</v>
      </c>
      <c r="AO194" s="2074"/>
      <c r="AP194" s="2577" t="s">
        <v>1340</v>
      </c>
      <c r="AQ194" s="2578"/>
      <c r="AR194" s="2578"/>
      <c r="AS194" s="2578"/>
      <c r="AT194" s="2578"/>
      <c r="AU194" s="2578"/>
      <c r="AV194" s="2578"/>
      <c r="AW194" s="2578"/>
      <c r="AX194" s="2578"/>
      <c r="AY194" s="257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105"/>
      <c r="B195" s="2580" t="s">
        <v>733</v>
      </c>
      <c r="C195" s="2581"/>
      <c r="D195" s="2581"/>
      <c r="E195" s="2581"/>
      <c r="F195" s="2581"/>
      <c r="G195" s="2581"/>
      <c r="H195" s="2581"/>
      <c r="I195" s="2581"/>
      <c r="J195" s="2581"/>
      <c r="K195" s="2582"/>
      <c r="L195" s="2615" t="s">
        <v>155</v>
      </c>
      <c r="M195" s="2616"/>
      <c r="N195" s="2616"/>
      <c r="O195" s="2616"/>
      <c r="P195" s="2616"/>
      <c r="Q195" s="2616"/>
      <c r="R195" s="2616"/>
      <c r="S195" s="2616"/>
      <c r="T195" s="2616"/>
      <c r="U195" s="2630"/>
      <c r="V195" s="2580" t="s">
        <v>733</v>
      </c>
      <c r="W195" s="2581"/>
      <c r="X195" s="2581"/>
      <c r="Y195" s="2581"/>
      <c r="Z195" s="2581"/>
      <c r="AA195" s="2581"/>
      <c r="AB195" s="2581"/>
      <c r="AC195" s="2581"/>
      <c r="AD195" s="2581"/>
      <c r="AE195" s="2582"/>
      <c r="AF195" s="2580" t="s">
        <v>734</v>
      </c>
      <c r="AG195" s="2581"/>
      <c r="AH195" s="2581"/>
      <c r="AI195" s="2581"/>
      <c r="AJ195" s="2581"/>
      <c r="AK195" s="2581"/>
      <c r="AL195" s="2581"/>
      <c r="AM195" s="2581"/>
      <c r="AN195" s="2581"/>
      <c r="AO195" s="2582"/>
      <c r="AP195" s="2615" t="s">
        <v>155</v>
      </c>
      <c r="AQ195" s="2616"/>
      <c r="AR195" s="2616"/>
      <c r="AS195" s="2616"/>
      <c r="AT195" s="2616"/>
      <c r="AU195" s="2616"/>
      <c r="AV195" s="2616"/>
      <c r="AW195" s="2616"/>
      <c r="AX195" s="2616"/>
      <c r="AY195" s="2630"/>
      <c r="BA195" s="10"/>
      <c r="BB195" s="2532"/>
      <c r="BC195" s="2532"/>
      <c r="BD195" s="2532"/>
      <c r="BE195" s="2532"/>
      <c r="BF195" s="2532"/>
      <c r="BG195" s="2532"/>
      <c r="BH195" s="2532"/>
      <c r="BI195" s="2532"/>
      <c r="BJ195" s="2067"/>
      <c r="BK195" s="2067"/>
      <c r="BL195" s="10"/>
      <c r="BM195" s="10"/>
      <c r="BN195" s="10"/>
      <c r="BO195" s="10"/>
      <c r="BP195" s="10"/>
      <c r="BQ195" s="10"/>
      <c r="BR195" s="10"/>
      <c r="BS195" s="10"/>
    </row>
    <row r="196" spans="1:71" ht="30" customHeight="1" x14ac:dyDescent="0.3">
      <c r="A196" s="1100" t="s">
        <v>184</v>
      </c>
      <c r="B196" s="2599" t="s">
        <v>1340</v>
      </c>
      <c r="C196" s="2600"/>
      <c r="D196" s="2600"/>
      <c r="E196" s="2600"/>
      <c r="F196" s="2600"/>
      <c r="G196" s="2600"/>
      <c r="H196" s="2600"/>
      <c r="I196" s="2600"/>
      <c r="J196" s="2073" t="s">
        <v>569</v>
      </c>
      <c r="K196" s="2074"/>
      <c r="L196" s="2577" t="s">
        <v>434</v>
      </c>
      <c r="M196" s="2578"/>
      <c r="N196" s="2578"/>
      <c r="O196" s="2578"/>
      <c r="P196" s="2578"/>
      <c r="Q196" s="2578"/>
      <c r="R196" s="2578"/>
      <c r="S196" s="2578"/>
      <c r="T196" s="2578"/>
      <c r="U196" s="2579"/>
      <c r="V196" s="2599" t="s">
        <v>1340</v>
      </c>
      <c r="W196" s="2600"/>
      <c r="X196" s="2600"/>
      <c r="Y196" s="2600"/>
      <c r="Z196" s="2600"/>
      <c r="AA196" s="2600"/>
      <c r="AB196" s="2600"/>
      <c r="AC196" s="2600"/>
      <c r="AD196" s="2073" t="s">
        <v>570</v>
      </c>
      <c r="AE196" s="2074"/>
      <c r="AF196" s="2599" t="s">
        <v>434</v>
      </c>
      <c r="AG196" s="2600"/>
      <c r="AH196" s="2600"/>
      <c r="AI196" s="2600"/>
      <c r="AJ196" s="2600"/>
      <c r="AK196" s="2600"/>
      <c r="AL196" s="2600"/>
      <c r="AM196" s="2600"/>
      <c r="AN196" s="2073" t="s">
        <v>569</v>
      </c>
      <c r="AO196" s="2074"/>
      <c r="AP196" s="2577" t="s">
        <v>1340</v>
      </c>
      <c r="AQ196" s="2578"/>
      <c r="AR196" s="2578"/>
      <c r="AS196" s="2578"/>
      <c r="AT196" s="2578"/>
      <c r="AU196" s="2578"/>
      <c r="AV196" s="2578"/>
      <c r="AW196" s="2578"/>
      <c r="AX196" s="2578"/>
      <c r="AY196" s="2579"/>
      <c r="BA196" s="10"/>
      <c r="BB196" s="2597"/>
      <c r="BC196" s="2597"/>
      <c r="BD196" s="2597"/>
      <c r="BE196" s="2597"/>
      <c r="BF196" s="2597"/>
      <c r="BG196" s="2597"/>
      <c r="BH196" s="2597"/>
      <c r="BI196" s="2597"/>
      <c r="BJ196" s="2597"/>
      <c r="BK196" s="2597"/>
      <c r="BL196" s="10"/>
      <c r="BM196" s="10"/>
      <c r="BN196" s="10"/>
      <c r="BO196" s="10"/>
      <c r="BP196" s="10"/>
      <c r="BQ196" s="10"/>
      <c r="BR196" s="10"/>
      <c r="BS196" s="10"/>
    </row>
    <row r="197" spans="1:71" ht="30" customHeight="1" x14ac:dyDescent="0.3">
      <c r="A197" s="1105"/>
      <c r="B197" s="2580" t="s">
        <v>733</v>
      </c>
      <c r="C197" s="2581"/>
      <c r="D197" s="2581"/>
      <c r="E197" s="2581"/>
      <c r="F197" s="2581"/>
      <c r="G197" s="2581"/>
      <c r="H197" s="2581"/>
      <c r="I197" s="2581"/>
      <c r="J197" s="2581"/>
      <c r="K197" s="2582"/>
      <c r="L197" s="2615" t="s">
        <v>155</v>
      </c>
      <c r="M197" s="2616"/>
      <c r="N197" s="2616"/>
      <c r="O197" s="2616"/>
      <c r="P197" s="2616"/>
      <c r="Q197" s="2616"/>
      <c r="R197" s="2616"/>
      <c r="S197" s="2616"/>
      <c r="T197" s="2616"/>
      <c r="U197" s="2630"/>
      <c r="V197" s="2580" t="s">
        <v>733</v>
      </c>
      <c r="W197" s="2581"/>
      <c r="X197" s="2581"/>
      <c r="Y197" s="2581"/>
      <c r="Z197" s="2581"/>
      <c r="AA197" s="2581"/>
      <c r="AB197" s="2581"/>
      <c r="AC197" s="2581"/>
      <c r="AD197" s="2581"/>
      <c r="AE197" s="2582"/>
      <c r="AF197" s="2580" t="s">
        <v>734</v>
      </c>
      <c r="AG197" s="2581"/>
      <c r="AH197" s="2581"/>
      <c r="AI197" s="2581"/>
      <c r="AJ197" s="2581"/>
      <c r="AK197" s="2581"/>
      <c r="AL197" s="2581"/>
      <c r="AM197" s="2581"/>
      <c r="AN197" s="2581"/>
      <c r="AO197" s="2582"/>
      <c r="AP197" s="2615" t="s">
        <v>155</v>
      </c>
      <c r="AQ197" s="2616"/>
      <c r="AR197" s="2616"/>
      <c r="AS197" s="2616"/>
      <c r="AT197" s="2616"/>
      <c r="AU197" s="2616"/>
      <c r="AV197" s="2616"/>
      <c r="AW197" s="2616"/>
      <c r="AX197" s="2616"/>
      <c r="AY197" s="2630"/>
      <c r="BA197" s="10"/>
      <c r="BB197" s="2532"/>
      <c r="BC197" s="2532"/>
      <c r="BD197" s="2532"/>
      <c r="BE197" s="2532"/>
      <c r="BF197" s="2532"/>
      <c r="BG197" s="2532"/>
      <c r="BH197" s="2532"/>
      <c r="BI197" s="2532"/>
      <c r="BJ197" s="2067"/>
      <c r="BK197" s="2067"/>
      <c r="BL197" s="10"/>
      <c r="BM197" s="10"/>
      <c r="BN197" s="10"/>
      <c r="BO197" s="10"/>
      <c r="BP197" s="10"/>
      <c r="BQ197" s="10"/>
      <c r="BR197" s="10"/>
      <c r="BS197" s="10"/>
    </row>
    <row r="198" spans="1:71" ht="30" customHeight="1" x14ac:dyDescent="0.3">
      <c r="A198" s="1100" t="s">
        <v>185</v>
      </c>
      <c r="B198" s="2594"/>
      <c r="C198" s="2532"/>
      <c r="D198" s="2532"/>
      <c r="E198" s="2532"/>
      <c r="F198" s="2532"/>
      <c r="G198" s="2532"/>
      <c r="H198" s="2532"/>
      <c r="I198" s="2532"/>
      <c r="J198" s="2532"/>
      <c r="K198" s="2595"/>
      <c r="L198" s="2065"/>
      <c r="M198" s="2066"/>
      <c r="N198" s="2066"/>
      <c r="O198" s="2066"/>
      <c r="P198" s="2066"/>
      <c r="Q198" s="2066"/>
      <c r="R198" s="2066"/>
      <c r="S198" s="2066"/>
      <c r="T198" s="2066"/>
      <c r="U198" s="2192"/>
      <c r="V198" s="2649"/>
      <c r="W198" s="2650"/>
      <c r="X198" s="2650"/>
      <c r="Y198" s="2650"/>
      <c r="Z198" s="2650"/>
      <c r="AA198" s="2650"/>
      <c r="AB198" s="2650"/>
      <c r="AC198" s="2650"/>
      <c r="AD198" s="2650"/>
      <c r="AE198" s="2651"/>
      <c r="AF198" s="2631"/>
      <c r="AG198" s="2541"/>
      <c r="AH198" s="2541"/>
      <c r="AI198" s="2541"/>
      <c r="AJ198" s="2541"/>
      <c r="AK198" s="2541"/>
      <c r="AL198" s="2541"/>
      <c r="AM198" s="2541"/>
      <c r="AN198" s="2541"/>
      <c r="AO198" s="2632"/>
      <c r="AP198" s="2631"/>
      <c r="AQ198" s="2541"/>
      <c r="AR198" s="2541"/>
      <c r="AS198" s="2541"/>
      <c r="AT198" s="2541"/>
      <c r="AU198" s="2541"/>
      <c r="AV198" s="2541"/>
      <c r="AW198" s="2541"/>
      <c r="AX198" s="2541"/>
      <c r="AY198" s="2632"/>
      <c r="BA198" s="10"/>
      <c r="BB198" s="2597"/>
      <c r="BC198" s="2597"/>
      <c r="BD198" s="2597"/>
      <c r="BE198" s="2597"/>
      <c r="BF198" s="2597"/>
      <c r="BG198" s="2597"/>
      <c r="BH198" s="2597"/>
      <c r="BI198" s="2597"/>
      <c r="BJ198" s="2597"/>
      <c r="BK198" s="2597"/>
      <c r="BL198" s="10"/>
      <c r="BM198" s="10"/>
      <c r="BN198" s="10"/>
      <c r="BO198" s="10"/>
      <c r="BP198" s="10"/>
      <c r="BQ198" s="10"/>
      <c r="BR198" s="10"/>
      <c r="BS198" s="10"/>
    </row>
    <row r="199" spans="1:71" ht="30" customHeight="1" x14ac:dyDescent="0.25">
      <c r="A199" s="1105"/>
      <c r="B199" s="2571"/>
      <c r="C199" s="2572"/>
      <c r="D199" s="2572"/>
      <c r="E199" s="2572"/>
      <c r="F199" s="2572"/>
      <c r="G199" s="2572"/>
      <c r="H199" s="2572"/>
      <c r="I199" s="2572"/>
      <c r="J199" s="2572"/>
      <c r="K199" s="2573"/>
      <c r="L199" s="2596"/>
      <c r="M199" s="2597"/>
      <c r="N199" s="2597"/>
      <c r="O199" s="2597"/>
      <c r="P199" s="2597"/>
      <c r="Q199" s="2597"/>
      <c r="R199" s="2597"/>
      <c r="S199" s="2597"/>
      <c r="T199" s="2572"/>
      <c r="U199" s="2573"/>
      <c r="V199" s="2655"/>
      <c r="W199" s="2656"/>
      <c r="X199" s="2656"/>
      <c r="Y199" s="2656"/>
      <c r="Z199" s="2656"/>
      <c r="AA199" s="2656"/>
      <c r="AB199" s="2656"/>
      <c r="AC199" s="2656"/>
      <c r="AD199" s="2656"/>
      <c r="AE199" s="2657"/>
      <c r="AF199" s="2652"/>
      <c r="AG199" s="2653"/>
      <c r="AH199" s="2653"/>
      <c r="AI199" s="2653"/>
      <c r="AJ199" s="2653"/>
      <c r="AK199" s="2653"/>
      <c r="AL199" s="2653"/>
      <c r="AM199" s="2653"/>
      <c r="AN199" s="2653"/>
      <c r="AO199" s="2654"/>
      <c r="AP199" s="2652"/>
      <c r="AQ199" s="2653"/>
      <c r="AR199" s="2653"/>
      <c r="AS199" s="2653"/>
      <c r="AT199" s="2653"/>
      <c r="AU199" s="2653"/>
      <c r="AV199" s="2653"/>
      <c r="AW199" s="2653"/>
      <c r="AX199" s="2653"/>
      <c r="AY199" s="2654"/>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100" t="s">
        <v>186</v>
      </c>
      <c r="B200" s="2594"/>
      <c r="C200" s="2532"/>
      <c r="D200" s="2532"/>
      <c r="E200" s="2532"/>
      <c r="F200" s="2532"/>
      <c r="G200" s="2532"/>
      <c r="H200" s="2532"/>
      <c r="I200" s="2532"/>
      <c r="J200" s="2532"/>
      <c r="K200" s="2595"/>
      <c r="L200" s="2065"/>
      <c r="M200" s="2066"/>
      <c r="N200" s="2066"/>
      <c r="O200" s="2066"/>
      <c r="P200" s="2066"/>
      <c r="Q200" s="2066"/>
      <c r="R200" s="2066"/>
      <c r="S200" s="2066"/>
      <c r="T200" s="2066"/>
      <c r="U200" s="2192"/>
      <c r="V200" s="2649"/>
      <c r="W200" s="2650"/>
      <c r="X200" s="2650"/>
      <c r="Y200" s="2650"/>
      <c r="Z200" s="2650"/>
      <c r="AA200" s="2650"/>
      <c r="AB200" s="2650"/>
      <c r="AC200" s="2650"/>
      <c r="AD200" s="2650"/>
      <c r="AE200" s="2651"/>
      <c r="AF200" s="2631"/>
      <c r="AG200" s="2541"/>
      <c r="AH200" s="2541"/>
      <c r="AI200" s="2541"/>
      <c r="AJ200" s="2541"/>
      <c r="AK200" s="2541"/>
      <c r="AL200" s="2541"/>
      <c r="AM200" s="2541"/>
      <c r="AN200" s="2541"/>
      <c r="AO200" s="2632"/>
      <c r="AP200" s="2631"/>
      <c r="AQ200" s="2541"/>
      <c r="AR200" s="2541"/>
      <c r="AS200" s="2541"/>
      <c r="AT200" s="2541"/>
      <c r="AU200" s="2541"/>
      <c r="AV200" s="2541"/>
      <c r="AW200" s="2541"/>
      <c r="AX200" s="254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01"/>
      <c r="B201" s="2617"/>
      <c r="C201" s="2618"/>
      <c r="D201" s="2618"/>
      <c r="E201" s="2618"/>
      <c r="F201" s="2618"/>
      <c r="G201" s="2618"/>
      <c r="H201" s="2618"/>
      <c r="I201" s="2618"/>
      <c r="J201" s="2618"/>
      <c r="K201" s="2619"/>
      <c r="L201" s="2617"/>
      <c r="M201" s="2618"/>
      <c r="N201" s="2618"/>
      <c r="O201" s="2618"/>
      <c r="P201" s="2618"/>
      <c r="Q201" s="2618"/>
      <c r="R201" s="2618"/>
      <c r="S201" s="2618"/>
      <c r="T201" s="2618"/>
      <c r="U201" s="2619"/>
      <c r="V201" s="2646"/>
      <c r="W201" s="2647"/>
      <c r="X201" s="2647"/>
      <c r="Y201" s="2647"/>
      <c r="Z201" s="2647"/>
      <c r="AA201" s="2647"/>
      <c r="AB201" s="2647"/>
      <c r="AC201" s="2647"/>
      <c r="AD201" s="2647"/>
      <c r="AE201" s="2648"/>
      <c r="AF201" s="2636"/>
      <c r="AG201" s="2637"/>
      <c r="AH201" s="2637"/>
      <c r="AI201" s="2637"/>
      <c r="AJ201" s="2637"/>
      <c r="AK201" s="2637"/>
      <c r="AL201" s="2637"/>
      <c r="AM201" s="2637"/>
      <c r="AN201" s="2637"/>
      <c r="AO201" s="2638"/>
      <c r="AP201" s="2636"/>
      <c r="AQ201" s="2637"/>
      <c r="AR201" s="2637"/>
      <c r="AS201" s="2637"/>
      <c r="AT201" s="2637"/>
      <c r="AU201" s="2637"/>
      <c r="AV201" s="2637"/>
      <c r="AW201" s="2637"/>
      <c r="AX201" s="2637"/>
      <c r="AY201" s="263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4" t="s">
        <v>214</v>
      </c>
      <c r="B203" s="1604"/>
      <c r="C203" s="1293" t="s">
        <v>215</v>
      </c>
      <c r="D203" s="1293"/>
      <c r="E203" s="1293"/>
      <c r="F203" s="1293"/>
      <c r="G203" s="1293"/>
      <c r="H203" s="1293"/>
      <c r="I203" s="1293"/>
      <c r="J203" s="1293"/>
      <c r="K203" s="1293"/>
      <c r="L203" s="1293"/>
      <c r="M203" s="1293"/>
      <c r="N203" s="1293"/>
      <c r="O203" s="1293"/>
      <c r="P203" s="1293"/>
      <c r="Q203" s="1293"/>
      <c r="R203" s="1293"/>
      <c r="S203" s="1293"/>
      <c r="T203" s="1159"/>
      <c r="U203" s="2603" t="s">
        <v>323</v>
      </c>
      <c r="V203" s="2604"/>
      <c r="W203" s="2605" t="s">
        <v>139</v>
      </c>
      <c r="X203" s="1580"/>
      <c r="Y203" s="1580"/>
      <c r="Z203" s="1604"/>
      <c r="AA203" s="2606" t="s">
        <v>163</v>
      </c>
      <c r="AB203" s="2606"/>
      <c r="AC203" s="2606"/>
      <c r="AD203" s="2607"/>
      <c r="AE203" s="2607"/>
      <c r="AF203" s="2607"/>
      <c r="AG203" s="2607"/>
      <c r="AH203" s="2607"/>
      <c r="AI203" s="2607"/>
      <c r="AJ203" s="2607"/>
      <c r="AK203" s="2607"/>
      <c r="AL203" s="2607"/>
      <c r="AM203" s="2607"/>
      <c r="AN203" s="2607"/>
      <c r="AO203" s="2607"/>
      <c r="AP203" s="2607"/>
      <c r="AQ203" s="2607"/>
      <c r="AR203" s="2607"/>
      <c r="AS203" s="2607"/>
      <c r="AT203" s="2607"/>
      <c r="AU203" s="2607"/>
      <c r="AV203" s="2607"/>
      <c r="AW203" s="2607"/>
      <c r="AX203" s="2607"/>
      <c r="AY203" s="2608"/>
    </row>
    <row r="204" spans="1:71" ht="13.8" x14ac:dyDescent="0.25">
      <c r="A204" s="1188" t="str">
        <f>VLOOKUP(U204,ASIGNATURAS!$F$1:$L$1022, 3, FALSE)</f>
        <v>SIST. DISTRIB.</v>
      </c>
      <c r="B204" s="1189"/>
      <c r="C204" s="981" t="str">
        <f>VLOOKUP(U204,ASIGNATURAS!$F$1:$L$1022, 4, FALSE)</f>
        <v>Sistemas Distribuidos</v>
      </c>
      <c r="D204" s="982"/>
      <c r="E204" s="982"/>
      <c r="F204" s="982"/>
      <c r="G204" s="982"/>
      <c r="H204" s="982"/>
      <c r="I204" s="982"/>
      <c r="J204" s="982"/>
      <c r="K204" s="982"/>
      <c r="L204" s="982"/>
      <c r="M204" s="982"/>
      <c r="N204" s="982"/>
      <c r="O204" s="982"/>
      <c r="P204" s="982"/>
      <c r="Q204" s="982"/>
      <c r="R204" s="2006"/>
      <c r="S204" s="2006"/>
      <c r="T204" s="983"/>
      <c r="U204" s="936">
        <v>8835</v>
      </c>
      <c r="V204" s="937"/>
      <c r="W204" s="936" t="str">
        <f>VLOOKUP(U204,ASIGNATURAS!$F$1:$L$1022, 5, FALSE)</f>
        <v>6 (OP)</v>
      </c>
      <c r="X204" s="1205"/>
      <c r="Y204" s="1205"/>
      <c r="Z204" s="937"/>
      <c r="AA204" s="981" t="str">
        <f>VLOOKUP(U204,ASIGNATURAS!$F$1:$L$1022, 6, FALSE)</f>
        <v>José Manuel Aroca Fernández</v>
      </c>
      <c r="AB204" s="981"/>
      <c r="AC204" s="981"/>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3"/>
    </row>
    <row r="205" spans="1:71" ht="13.8" x14ac:dyDescent="0.25">
      <c r="A205" s="2640" t="str">
        <f>VLOOKUP(U205,ASIGNATURAS!$F$1:$L$1022, 3, FALSE)</f>
        <v>SIST. EMPOT.</v>
      </c>
      <c r="B205" s="2641"/>
      <c r="C205" s="2642" t="str">
        <f>VLOOKUP(U205,ASIGNATURAS!$F$1:$L$1022, 4, FALSE)</f>
        <v>Sistemas Empotrados y de Tiempo Real</v>
      </c>
      <c r="D205" s="2643"/>
      <c r="E205" s="2643"/>
      <c r="F205" s="2643"/>
      <c r="G205" s="2643"/>
      <c r="H205" s="2643"/>
      <c r="I205" s="2643"/>
      <c r="J205" s="2643"/>
      <c r="K205" s="2643"/>
      <c r="L205" s="2643"/>
      <c r="M205" s="2643"/>
      <c r="N205" s="2643"/>
      <c r="O205" s="2643"/>
      <c r="P205" s="2643"/>
      <c r="Q205" s="2643"/>
      <c r="R205" s="2644"/>
      <c r="S205" s="2644"/>
      <c r="T205" s="2645"/>
      <c r="U205" s="936">
        <v>8842</v>
      </c>
      <c r="V205" s="937"/>
      <c r="W205" s="936" t="str">
        <f>VLOOKUP(U205,ASIGNATURAS!$F$1:$L$1022, 5, FALSE)</f>
        <v>6 (OP)</v>
      </c>
      <c r="X205" s="1205"/>
      <c r="Y205" s="1205"/>
      <c r="Z205" s="937"/>
      <c r="AA205" s="2639" t="s">
        <v>1149</v>
      </c>
      <c r="AB205" s="981"/>
      <c r="AC205" s="981"/>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3"/>
    </row>
    <row r="206" spans="1:71" ht="14.25" customHeight="1" x14ac:dyDescent="0.25">
      <c r="A206" s="2640" t="str">
        <f>VLOOKUP(U206,ASIGNATURAS!$F$1:$L$1022, 3, FALSE)</f>
        <v>MET. FORMALES</v>
      </c>
      <c r="B206" s="2641"/>
      <c r="C206" s="2642" t="str">
        <f>VLOOKUP(U206,ASIGNATURAS!$F$1:$L$1022, 4, FALSE)</f>
        <v>Métodos Formales</v>
      </c>
      <c r="D206" s="2643"/>
      <c r="E206" s="2643"/>
      <c r="F206" s="2643"/>
      <c r="G206" s="2643"/>
      <c r="H206" s="2643"/>
      <c r="I206" s="2643"/>
      <c r="J206" s="2643"/>
      <c r="K206" s="2643"/>
      <c r="L206" s="2643"/>
      <c r="M206" s="2643"/>
      <c r="N206" s="2643"/>
      <c r="O206" s="2643"/>
      <c r="P206" s="2643"/>
      <c r="Q206" s="2643"/>
      <c r="R206" s="2644"/>
      <c r="S206" s="2644"/>
      <c r="T206" s="2645"/>
      <c r="U206" s="936">
        <v>8843</v>
      </c>
      <c r="V206" s="937"/>
      <c r="W206" s="936" t="str">
        <f>VLOOKUP(U206,ASIGNATURAS!$F$1:$L$1022, 5, FALSE)</f>
        <v>6 (OP)</v>
      </c>
      <c r="X206" s="1205"/>
      <c r="Y206" s="1205"/>
      <c r="Z206" s="937"/>
      <c r="AA206" s="2639" t="s">
        <v>1149</v>
      </c>
      <c r="AB206" s="981"/>
      <c r="AC206" s="981"/>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3"/>
    </row>
    <row r="207" spans="1:71" ht="14.25" customHeight="1" x14ac:dyDescent="0.25">
      <c r="A207" s="1188" t="str">
        <f>VLOOKUP(U207,ASIGNATURAS!$F$1:$L$1022, 3, FALSE)</f>
        <v>NUEVAS TECN.</v>
      </c>
      <c r="B207" s="1189"/>
      <c r="C207" s="981" t="str">
        <f>VLOOKUP(U207,ASIGNATURAS!$F$1:$L$1022, 4, FALSE)</f>
        <v>Nuevas Tecnologías y Empresa</v>
      </c>
      <c r="D207" s="982"/>
      <c r="E207" s="982"/>
      <c r="F207" s="982"/>
      <c r="G207" s="982"/>
      <c r="H207" s="982"/>
      <c r="I207" s="982"/>
      <c r="J207" s="982"/>
      <c r="K207" s="982"/>
      <c r="L207" s="982"/>
      <c r="M207" s="982"/>
      <c r="N207" s="982"/>
      <c r="O207" s="982"/>
      <c r="P207" s="982"/>
      <c r="Q207" s="982"/>
      <c r="R207" s="2006"/>
      <c r="S207" s="2006"/>
      <c r="T207" s="983"/>
      <c r="U207" s="936">
        <v>8836</v>
      </c>
      <c r="V207" s="937"/>
      <c r="W207" s="936" t="str">
        <f>VLOOKUP(U207,ASIGNATURAS!$F$1:$L$1022, 5, FALSE)</f>
        <v>6 (OP)</v>
      </c>
      <c r="X207" s="1205"/>
      <c r="Y207" s="1205"/>
      <c r="Z207" s="937"/>
      <c r="AA207" s="2602" t="str">
        <f>VLOOKUP(U207,ASIGNATURAS!$F$1:$L$1022, 6, FALSE)</f>
        <v>Jose Ignacio Santos Martín, Virginia Ahedo</v>
      </c>
      <c r="AB207" s="2261"/>
      <c r="AC207" s="2261"/>
      <c r="AD207" s="2262"/>
      <c r="AE207" s="2262"/>
      <c r="AF207" s="2262"/>
      <c r="AG207" s="2262"/>
      <c r="AH207" s="2262"/>
      <c r="AI207" s="2262"/>
      <c r="AJ207" s="2262"/>
      <c r="AK207" s="2262"/>
      <c r="AL207" s="2262"/>
      <c r="AM207" s="2262"/>
      <c r="AN207" s="2262"/>
      <c r="AO207" s="2262"/>
      <c r="AP207" s="2262"/>
      <c r="AQ207" s="2262"/>
      <c r="AR207" s="2262"/>
      <c r="AS207" s="2262"/>
      <c r="AT207" s="2262"/>
      <c r="AU207" s="2262"/>
      <c r="AV207" s="2262"/>
      <c r="AW207" s="2262"/>
      <c r="AX207" s="2262"/>
      <c r="AY207" s="2506"/>
    </row>
    <row r="208" spans="1:71" ht="13.8" x14ac:dyDescent="0.25">
      <c r="A208" s="1188" t="str">
        <f>VLOOKUP(U208,ASIGNATURAS!$F$1:$L$1022, 3, FALSE)</f>
        <v>MINERIA</v>
      </c>
      <c r="B208" s="1189"/>
      <c r="C208" s="981" t="str">
        <f>VLOOKUP(U208,ASIGNATURAS!$F$1:$L$1022, 4, FALSE)</f>
        <v>Minería de Datos</v>
      </c>
      <c r="D208" s="982"/>
      <c r="E208" s="982"/>
      <c r="F208" s="982"/>
      <c r="G208" s="982"/>
      <c r="H208" s="982"/>
      <c r="I208" s="982"/>
      <c r="J208" s="982"/>
      <c r="K208" s="982"/>
      <c r="L208" s="982"/>
      <c r="M208" s="982"/>
      <c r="N208" s="982"/>
      <c r="O208" s="982"/>
      <c r="P208" s="982"/>
      <c r="Q208" s="982"/>
      <c r="R208" s="2006"/>
      <c r="S208" s="2006"/>
      <c r="T208" s="983"/>
      <c r="U208" s="936">
        <v>8837</v>
      </c>
      <c r="V208" s="937"/>
      <c r="W208" s="936" t="str">
        <f>VLOOKUP(U208,ASIGNATURAS!$F$1:$L$1022, 5, FALSE)</f>
        <v>6 (OP)</v>
      </c>
      <c r="X208" s="1205"/>
      <c r="Y208" s="1205"/>
      <c r="Z208" s="937"/>
      <c r="AA208" s="981" t="str">
        <f>VLOOKUP(U208,ASIGNATURAS!$F$1:$L$1022, 6, FALSE)</f>
        <v>Juan José Rodríguez Díez</v>
      </c>
      <c r="AB208" s="981"/>
      <c r="AC208" s="981"/>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3"/>
    </row>
    <row r="209" spans="1:51" ht="14.4" thickBot="1" x14ac:dyDescent="0.3">
      <c r="A209" s="1201" t="str">
        <f>VLOOKUP(U209,ASIGNATURAS!$F$1:$L$1022, 3, FALSE)</f>
        <v>D.A.SISTEMAS</v>
      </c>
      <c r="B209" s="1372"/>
      <c r="C209" s="1022" t="str">
        <f>VLOOKUP(U209,ASIGNATURAS!$F$1:$L$1022, 4, FALSE)</f>
        <v>Desarrollo Avanzado de Sistemas Software</v>
      </c>
      <c r="D209" s="1023"/>
      <c r="E209" s="1023"/>
      <c r="F209" s="1023"/>
      <c r="G209" s="1023"/>
      <c r="H209" s="1023"/>
      <c r="I209" s="1023"/>
      <c r="J209" s="1023"/>
      <c r="K209" s="1023"/>
      <c r="L209" s="1023"/>
      <c r="M209" s="1023"/>
      <c r="N209" s="1023"/>
      <c r="O209" s="1023"/>
      <c r="P209" s="1023"/>
      <c r="Q209" s="1023"/>
      <c r="R209" s="1748"/>
      <c r="S209" s="1748"/>
      <c r="T209" s="1024"/>
      <c r="U209" s="1295">
        <v>8838</v>
      </c>
      <c r="V209" s="1296"/>
      <c r="W209" s="1295" t="str">
        <f>VLOOKUP(U209,ASIGNATURAS!$F$1:$L$1022, 5, FALSE)</f>
        <v>6 (OP)</v>
      </c>
      <c r="X209" s="1322"/>
      <c r="Y209" s="1322"/>
      <c r="Z209" s="1296"/>
      <c r="AA209" s="1022" t="str">
        <f>VLOOKUP(U209,ASIGNATURAS!$F$1:$L$1022, 6, FALSE)</f>
        <v>Carlos López Nozal</v>
      </c>
      <c r="AB209" s="1022"/>
      <c r="AC209" s="1022"/>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4"/>
    </row>
    <row r="212" spans="1:51" ht="24" customHeight="1" x14ac:dyDescent="0.25">
      <c r="A212" s="1145" t="s">
        <v>165</v>
      </c>
      <c r="B212" s="1145"/>
      <c r="C212" s="1145"/>
      <c r="D212" s="1145"/>
      <c r="E212" s="1145"/>
      <c r="F212" s="1145"/>
      <c r="G212" s="1145"/>
      <c r="H212" s="270"/>
      <c r="I212" s="270"/>
    </row>
    <row r="213" spans="1:51" ht="24" customHeight="1" x14ac:dyDescent="0.25">
      <c r="A213" s="1148" t="s">
        <v>1006</v>
      </c>
      <c r="B213" s="1148"/>
      <c r="C213" s="1148"/>
      <c r="D213" s="1148"/>
      <c r="E213" s="1148"/>
      <c r="F213" s="1148"/>
      <c r="G213" s="1148"/>
      <c r="H213" s="270"/>
      <c r="I213" s="270"/>
    </row>
    <row r="215" spans="1:51" ht="17.399999999999999" x14ac:dyDescent="0.3">
      <c r="A215" s="106" t="s">
        <v>213</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35" t="str">
        <f>VLOOKUP(A4,ASIGNATURAS!$A$2:$D$151, 3, FALSE)</f>
        <v>1º Máster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153</v>
      </c>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126</v>
      </c>
    </row>
    <row r="5" spans="1:31" s="2" customFormat="1" ht="24" customHeight="1" thickBot="1" x14ac:dyDescent="0.3">
      <c r="A5" s="24" t="s">
        <v>1</v>
      </c>
      <c r="B5" s="1065" t="s">
        <v>2</v>
      </c>
      <c r="C5" s="1065"/>
      <c r="D5" s="1065"/>
      <c r="E5" s="1065"/>
      <c r="F5" s="1065"/>
      <c r="G5" s="2721"/>
      <c r="H5" s="1065" t="s">
        <v>3</v>
      </c>
      <c r="I5" s="1065"/>
      <c r="J5" s="1065"/>
      <c r="K5" s="1065"/>
      <c r="L5" s="1065"/>
      <c r="M5" s="2721"/>
      <c r="N5" s="1065" t="s">
        <v>135</v>
      </c>
      <c r="O5" s="1065"/>
      <c r="P5" s="1065"/>
      <c r="Q5" s="1065"/>
      <c r="R5" s="1065"/>
      <c r="S5" s="2721"/>
      <c r="T5" s="1065" t="s">
        <v>4</v>
      </c>
      <c r="U5" s="1065"/>
      <c r="V5" s="1065"/>
      <c r="W5" s="1065"/>
      <c r="X5" s="1065"/>
      <c r="Y5" s="2721"/>
      <c r="Z5" s="1065" t="s">
        <v>5</v>
      </c>
      <c r="AA5" s="1065"/>
      <c r="AB5" s="1065"/>
      <c r="AC5" s="1065"/>
      <c r="AD5" s="1065"/>
      <c r="AE5" s="1066"/>
    </row>
    <row r="6" spans="1:31" ht="30" customHeight="1" x14ac:dyDescent="0.3">
      <c r="A6" s="1486" t="s">
        <v>183</v>
      </c>
      <c r="B6" s="1002" t="s">
        <v>129</v>
      </c>
      <c r="C6" s="1003"/>
      <c r="D6" s="1003"/>
      <c r="E6" s="1003"/>
      <c r="F6" s="1003"/>
      <c r="G6" s="1004"/>
      <c r="H6" s="1003" t="s">
        <v>441</v>
      </c>
      <c r="I6" s="1003"/>
      <c r="J6" s="1003"/>
      <c r="K6" s="1003"/>
      <c r="L6" s="1003"/>
      <c r="M6" s="1004"/>
      <c r="N6" s="1003" t="s">
        <v>443</v>
      </c>
      <c r="O6" s="1003"/>
      <c r="P6" s="1003"/>
      <c r="Q6" s="1003"/>
      <c r="R6" s="1003"/>
      <c r="S6" s="1004"/>
      <c r="T6" s="1003" t="s">
        <v>529</v>
      </c>
      <c r="U6" s="1003"/>
      <c r="V6" s="1003"/>
      <c r="W6" s="1003"/>
      <c r="X6" s="1003"/>
      <c r="Y6" s="1004"/>
      <c r="Z6" s="995" t="s">
        <v>130</v>
      </c>
      <c r="AA6" s="995"/>
      <c r="AB6" s="995"/>
      <c r="AC6" s="995"/>
      <c r="AD6" s="995"/>
      <c r="AE6" s="996"/>
    </row>
    <row r="7" spans="1:31" ht="30" customHeight="1" thickBot="1" x14ac:dyDescent="0.3">
      <c r="A7" s="1161"/>
      <c r="B7" s="2722" t="s">
        <v>153</v>
      </c>
      <c r="C7" s="2723"/>
      <c r="D7" s="2723"/>
      <c r="E7" s="2723"/>
      <c r="F7" s="2723"/>
      <c r="G7" s="2724"/>
      <c r="H7" s="2722" t="s">
        <v>153</v>
      </c>
      <c r="I7" s="2723"/>
      <c r="J7" s="2723"/>
      <c r="K7" s="2723"/>
      <c r="L7" s="2723"/>
      <c r="M7" s="2724"/>
      <c r="N7" s="2722" t="s">
        <v>153</v>
      </c>
      <c r="O7" s="2723"/>
      <c r="P7" s="2723"/>
      <c r="Q7" s="2723"/>
      <c r="R7" s="2723"/>
      <c r="S7" s="2724"/>
      <c r="T7" s="2722" t="s">
        <v>153</v>
      </c>
      <c r="U7" s="2723"/>
      <c r="V7" s="2723"/>
      <c r="W7" s="2723"/>
      <c r="X7" s="2723"/>
      <c r="Y7" s="2724"/>
      <c r="Z7" s="2722" t="s">
        <v>153</v>
      </c>
      <c r="AA7" s="2723"/>
      <c r="AB7" s="2723"/>
      <c r="AC7" s="2723"/>
      <c r="AD7" s="2723"/>
      <c r="AE7" s="2724"/>
    </row>
    <row r="8" spans="1:31" ht="30" customHeight="1" x14ac:dyDescent="0.3">
      <c r="A8" s="1161" t="s">
        <v>182</v>
      </c>
      <c r="B8" s="994" t="s">
        <v>129</v>
      </c>
      <c r="C8" s="995"/>
      <c r="D8" s="995"/>
      <c r="E8" s="995"/>
      <c r="F8" s="995"/>
      <c r="G8" s="996"/>
      <c r="H8" s="995" t="s">
        <v>529</v>
      </c>
      <c r="I8" s="995"/>
      <c r="J8" s="995"/>
      <c r="K8" s="995"/>
      <c r="L8" s="995"/>
      <c r="M8" s="996"/>
      <c r="N8" s="995" t="s">
        <v>443</v>
      </c>
      <c r="O8" s="995"/>
      <c r="P8" s="995"/>
      <c r="Q8" s="995"/>
      <c r="R8" s="995"/>
      <c r="S8" s="996"/>
      <c r="T8" s="995" t="s">
        <v>441</v>
      </c>
      <c r="U8" s="995"/>
      <c r="V8" s="995"/>
      <c r="W8" s="995"/>
      <c r="X8" s="995"/>
      <c r="Y8" s="996"/>
      <c r="Z8" s="995" t="s">
        <v>130</v>
      </c>
      <c r="AA8" s="995"/>
      <c r="AB8" s="995"/>
      <c r="AC8" s="995"/>
      <c r="AD8" s="995"/>
      <c r="AE8" s="996"/>
    </row>
    <row r="9" spans="1:31" ht="30" customHeight="1" thickBot="1" x14ac:dyDescent="0.3">
      <c r="A9" s="1161"/>
      <c r="B9" s="2722" t="s">
        <v>153</v>
      </c>
      <c r="C9" s="2723"/>
      <c r="D9" s="2723"/>
      <c r="E9" s="2723"/>
      <c r="F9" s="2723"/>
      <c r="G9" s="2724"/>
      <c r="H9" s="2722" t="s">
        <v>153</v>
      </c>
      <c r="I9" s="2723"/>
      <c r="J9" s="2723"/>
      <c r="K9" s="2723"/>
      <c r="L9" s="2723"/>
      <c r="M9" s="2724"/>
      <c r="N9" s="2722" t="s">
        <v>153</v>
      </c>
      <c r="O9" s="2723"/>
      <c r="P9" s="2723"/>
      <c r="Q9" s="2723"/>
      <c r="R9" s="2723"/>
      <c r="S9" s="2724"/>
      <c r="T9" s="2722" t="s">
        <v>153</v>
      </c>
      <c r="U9" s="2723"/>
      <c r="V9" s="2723"/>
      <c r="W9" s="2723"/>
      <c r="X9" s="2723"/>
      <c r="Y9" s="2724"/>
      <c r="Z9" s="2722" t="s">
        <v>153</v>
      </c>
      <c r="AA9" s="2723"/>
      <c r="AB9" s="2723"/>
      <c r="AC9" s="2723"/>
      <c r="AD9" s="2723"/>
      <c r="AE9" s="2724"/>
    </row>
    <row r="10" spans="1:31" ht="30" customHeight="1" x14ac:dyDescent="0.3">
      <c r="A10" s="1486" t="s">
        <v>184</v>
      </c>
      <c r="B10" s="2725" t="s">
        <v>130</v>
      </c>
      <c r="C10" s="2726"/>
      <c r="D10" s="2726"/>
      <c r="E10" s="2726"/>
      <c r="F10" s="2726"/>
      <c r="G10" s="2727"/>
      <c r="H10" s="2726" t="s">
        <v>529</v>
      </c>
      <c r="I10" s="2726"/>
      <c r="J10" s="2726"/>
      <c r="K10" s="2726"/>
      <c r="L10" s="2726"/>
      <c r="M10" s="2727"/>
      <c r="N10" s="2726" t="s">
        <v>129</v>
      </c>
      <c r="O10" s="2726"/>
      <c r="P10" s="2726"/>
      <c r="Q10" s="2726"/>
      <c r="R10" s="2726"/>
      <c r="S10" s="2727"/>
      <c r="T10" s="2726" t="s">
        <v>441</v>
      </c>
      <c r="U10" s="2726"/>
      <c r="V10" s="2726"/>
      <c r="W10" s="2726"/>
      <c r="X10" s="2726"/>
      <c r="Y10" s="2727"/>
      <c r="Z10" s="998"/>
      <c r="AA10" s="999"/>
      <c r="AB10" s="999"/>
      <c r="AC10" s="999"/>
      <c r="AD10" s="999"/>
      <c r="AE10" s="1000"/>
    </row>
    <row r="11" spans="1:31" ht="30" customHeight="1" thickBot="1" x14ac:dyDescent="0.3">
      <c r="A11" s="1161"/>
      <c r="B11" s="2728" t="s">
        <v>557</v>
      </c>
      <c r="C11" s="2729"/>
      <c r="D11" s="2729"/>
      <c r="E11" s="2729"/>
      <c r="F11" s="2729"/>
      <c r="G11" s="2730"/>
      <c r="H11" s="2729" t="s">
        <v>556</v>
      </c>
      <c r="I11" s="2729"/>
      <c r="J11" s="2729"/>
      <c r="K11" s="2729"/>
      <c r="L11" s="2729"/>
      <c r="M11" s="2730"/>
      <c r="N11" s="2729" t="s">
        <v>555</v>
      </c>
      <c r="O11" s="2729"/>
      <c r="P11" s="2729"/>
      <c r="Q11" s="2729"/>
      <c r="R11" s="2729"/>
      <c r="S11" s="2730"/>
      <c r="T11" s="2729" t="s">
        <v>558</v>
      </c>
      <c r="U11" s="2729"/>
      <c r="V11" s="2729"/>
      <c r="W11" s="2729"/>
      <c r="X11" s="2729"/>
      <c r="Y11" s="2730"/>
      <c r="Z11" s="1142"/>
      <c r="AA11" s="1143"/>
      <c r="AB11" s="1143"/>
      <c r="AC11" s="1143"/>
      <c r="AD11" s="1143"/>
      <c r="AE11" s="1144"/>
    </row>
    <row r="12" spans="1:31" ht="30" customHeight="1" x14ac:dyDescent="0.3">
      <c r="A12" s="1486" t="s">
        <v>185</v>
      </c>
      <c r="B12" s="2731" t="s">
        <v>130</v>
      </c>
      <c r="C12" s="2732"/>
      <c r="D12" s="2732"/>
      <c r="E12" s="2732"/>
      <c r="F12" s="2732"/>
      <c r="G12" s="2733"/>
      <c r="H12" s="2732" t="s">
        <v>529</v>
      </c>
      <c r="I12" s="2732"/>
      <c r="J12" s="2732"/>
      <c r="K12" s="2732"/>
      <c r="L12" s="2732"/>
      <c r="M12" s="2733"/>
      <c r="N12" s="2732" t="s">
        <v>129</v>
      </c>
      <c r="O12" s="2732"/>
      <c r="P12" s="2732"/>
      <c r="Q12" s="2732"/>
      <c r="R12" s="2732"/>
      <c r="S12" s="2733"/>
      <c r="T12" s="2732" t="s">
        <v>441</v>
      </c>
      <c r="U12" s="2732"/>
      <c r="V12" s="2732"/>
      <c r="W12" s="2732"/>
      <c r="X12" s="2732"/>
      <c r="Y12" s="2733"/>
      <c r="Z12" s="1125"/>
      <c r="AA12" s="1126"/>
      <c r="AB12" s="1126"/>
      <c r="AC12" s="1126"/>
      <c r="AD12" s="1126"/>
      <c r="AE12" s="1127"/>
    </row>
    <row r="13" spans="1:31" ht="30" customHeight="1" thickBot="1" x14ac:dyDescent="0.3">
      <c r="A13" s="1161"/>
      <c r="B13" s="2728" t="s">
        <v>557</v>
      </c>
      <c r="C13" s="2729"/>
      <c r="D13" s="2729"/>
      <c r="E13" s="2729"/>
      <c r="F13" s="2729"/>
      <c r="G13" s="2730"/>
      <c r="H13" s="2729" t="s">
        <v>556</v>
      </c>
      <c r="I13" s="2729"/>
      <c r="J13" s="2729"/>
      <c r="K13" s="2729"/>
      <c r="L13" s="2729"/>
      <c r="M13" s="2730"/>
      <c r="N13" s="2729" t="s">
        <v>555</v>
      </c>
      <c r="O13" s="2729"/>
      <c r="P13" s="2729"/>
      <c r="Q13" s="2729"/>
      <c r="R13" s="2729"/>
      <c r="S13" s="2730"/>
      <c r="T13" s="2729" t="s">
        <v>558</v>
      </c>
      <c r="U13" s="2729"/>
      <c r="V13" s="2729"/>
      <c r="W13" s="2729"/>
      <c r="X13" s="2729"/>
      <c r="Y13" s="2730"/>
      <c r="Z13" s="1142"/>
      <c r="AA13" s="1143"/>
      <c r="AB13" s="1143"/>
      <c r="AC13" s="1143"/>
      <c r="AD13" s="1143"/>
      <c r="AE13" s="1144"/>
    </row>
    <row r="14" spans="1:31" ht="30" customHeight="1" x14ac:dyDescent="0.3">
      <c r="A14" s="1486" t="s">
        <v>186</v>
      </c>
      <c r="B14" s="998"/>
      <c r="C14" s="999"/>
      <c r="D14" s="999"/>
      <c r="E14" s="999"/>
      <c r="F14" s="999"/>
      <c r="G14" s="1000"/>
      <c r="H14" s="998"/>
      <c r="I14" s="999"/>
      <c r="J14" s="999"/>
      <c r="K14" s="999"/>
      <c r="L14" s="999"/>
      <c r="M14" s="1000"/>
      <c r="N14" s="998"/>
      <c r="O14" s="999"/>
      <c r="P14" s="999"/>
      <c r="Q14" s="999"/>
      <c r="R14" s="999"/>
      <c r="S14" s="1000"/>
      <c r="T14" s="2726" t="s">
        <v>443</v>
      </c>
      <c r="U14" s="2726"/>
      <c r="V14" s="2726"/>
      <c r="W14" s="2726"/>
      <c r="X14" s="2726"/>
      <c r="Y14" s="2727"/>
      <c r="Z14" s="998"/>
      <c r="AA14" s="999"/>
      <c r="AB14" s="999"/>
      <c r="AC14" s="999"/>
      <c r="AD14" s="999"/>
      <c r="AE14" s="1000"/>
    </row>
    <row r="15" spans="1:31" ht="30" customHeight="1" thickBot="1" x14ac:dyDescent="0.3">
      <c r="A15" s="1161"/>
      <c r="B15" s="1142"/>
      <c r="C15" s="1143"/>
      <c r="D15" s="1143"/>
      <c r="E15" s="1143"/>
      <c r="F15" s="1143"/>
      <c r="G15" s="1144"/>
      <c r="H15" s="1142"/>
      <c r="I15" s="1143"/>
      <c r="J15" s="1143"/>
      <c r="K15" s="1143"/>
      <c r="L15" s="1143"/>
      <c r="M15" s="1144"/>
      <c r="N15" s="1142"/>
      <c r="O15" s="1143"/>
      <c r="P15" s="1143"/>
      <c r="Q15" s="1143"/>
      <c r="R15" s="1143"/>
      <c r="S15" s="1144"/>
      <c r="T15" s="2729" t="s">
        <v>558</v>
      </c>
      <c r="U15" s="2729"/>
      <c r="V15" s="2729"/>
      <c r="W15" s="2729"/>
      <c r="X15" s="2729"/>
      <c r="Y15" s="2730"/>
      <c r="Z15" s="1142"/>
      <c r="AA15" s="1143"/>
      <c r="AB15" s="1143"/>
      <c r="AC15" s="1143"/>
      <c r="AD15" s="1143"/>
      <c r="AE15" s="1144"/>
    </row>
    <row r="16" spans="1:31" ht="30" customHeight="1" x14ac:dyDescent="0.3">
      <c r="A16" s="1486" t="s">
        <v>187</v>
      </c>
      <c r="B16" s="998"/>
      <c r="C16" s="999"/>
      <c r="D16" s="999"/>
      <c r="E16" s="999"/>
      <c r="F16" s="999"/>
      <c r="G16" s="1000"/>
      <c r="H16" s="998"/>
      <c r="I16" s="999"/>
      <c r="J16" s="999"/>
      <c r="K16" s="999"/>
      <c r="L16" s="999"/>
      <c r="M16" s="1000"/>
      <c r="N16" s="998"/>
      <c r="O16" s="999"/>
      <c r="P16" s="999"/>
      <c r="Q16" s="999"/>
      <c r="R16" s="999"/>
      <c r="S16" s="1000"/>
      <c r="T16" s="2726" t="s">
        <v>443</v>
      </c>
      <c r="U16" s="2726"/>
      <c r="V16" s="2726"/>
      <c r="W16" s="2726"/>
      <c r="X16" s="2726"/>
      <c r="Y16" s="2727"/>
      <c r="Z16" s="998"/>
      <c r="AA16" s="999"/>
      <c r="AB16" s="999"/>
      <c r="AC16" s="999"/>
      <c r="AD16" s="999"/>
      <c r="AE16" s="1000"/>
    </row>
    <row r="17" spans="1:31" ht="30" customHeight="1" thickBot="1" x14ac:dyDescent="0.3">
      <c r="A17" s="1238"/>
      <c r="B17" s="1142"/>
      <c r="C17" s="1143"/>
      <c r="D17" s="1143"/>
      <c r="E17" s="1143"/>
      <c r="F17" s="1143"/>
      <c r="G17" s="1144"/>
      <c r="H17" s="1142"/>
      <c r="I17" s="1143"/>
      <c r="J17" s="1143"/>
      <c r="K17" s="1143"/>
      <c r="L17" s="1143"/>
      <c r="M17" s="1144"/>
      <c r="N17" s="1142"/>
      <c r="O17" s="1143"/>
      <c r="P17" s="1143"/>
      <c r="Q17" s="1143"/>
      <c r="R17" s="1143"/>
      <c r="S17" s="1144"/>
      <c r="T17" s="2729" t="s">
        <v>558</v>
      </c>
      <c r="U17" s="2729"/>
      <c r="V17" s="2729"/>
      <c r="W17" s="2729"/>
      <c r="X17" s="2729"/>
      <c r="Y17" s="2730"/>
      <c r="Z17" s="1142"/>
      <c r="AA17" s="1143"/>
      <c r="AB17" s="1143"/>
      <c r="AC17" s="1143"/>
      <c r="AD17" s="1143"/>
      <c r="AE17" s="1144"/>
    </row>
    <row r="18" spans="1:31" ht="92.25" customHeight="1" thickBot="1" x14ac:dyDescent="0.3"/>
    <row r="19" spans="1:31" ht="18.75" customHeight="1" thickBot="1" x14ac:dyDescent="0.3">
      <c r="A19" s="1033" t="s">
        <v>214</v>
      </c>
      <c r="B19" s="935"/>
      <c r="C19" s="934" t="s">
        <v>215</v>
      </c>
      <c r="D19" s="934"/>
      <c r="E19" s="934"/>
      <c r="F19" s="934"/>
      <c r="G19" s="934"/>
      <c r="H19" s="934"/>
      <c r="I19" s="934"/>
      <c r="J19" s="934"/>
      <c r="K19" s="934"/>
      <c r="L19" s="58"/>
      <c r="M19" s="1034" t="s">
        <v>327</v>
      </c>
      <c r="N19" s="1035"/>
      <c r="O19" s="934" t="s">
        <v>139</v>
      </c>
      <c r="P19" s="935"/>
      <c r="Q19" s="934" t="s">
        <v>163</v>
      </c>
      <c r="R19" s="934"/>
      <c r="S19" s="934"/>
      <c r="T19" s="934"/>
      <c r="U19" s="934"/>
      <c r="V19" s="934"/>
      <c r="W19" s="934"/>
      <c r="X19" s="934"/>
      <c r="Y19" s="934"/>
      <c r="Z19" s="934"/>
      <c r="AA19" s="934"/>
      <c r="AB19" s="934"/>
      <c r="AC19" s="934"/>
      <c r="AD19" s="934"/>
      <c r="AE19" s="935"/>
    </row>
    <row r="20" spans="1:31" ht="13.8" x14ac:dyDescent="0.25">
      <c r="A20" s="1036" t="e">
        <f>VLOOKUP(M20,ASIGNATURAS!$F$1:$L$1022, 3, FALSE)</f>
        <v>#N/A</v>
      </c>
      <c r="B20" s="1037"/>
      <c r="C20" s="1056" t="e">
        <f>VLOOKUP(M20,ASIGNATURAS!$F$1:$L$1022, 4, FALSE)</f>
        <v>#N/A</v>
      </c>
      <c r="D20" s="1057"/>
      <c r="E20" s="1057"/>
      <c r="F20" s="1057"/>
      <c r="G20" s="1057"/>
      <c r="H20" s="1057"/>
      <c r="I20" s="1057"/>
      <c r="J20" s="1057"/>
      <c r="K20" s="1057"/>
      <c r="L20" s="1058"/>
      <c r="M20" s="1028">
        <v>7059</v>
      </c>
      <c r="N20" s="1029"/>
      <c r="O20" s="1028" t="e">
        <f>VLOOKUP(M20,ASIGNATURAS!$F$1:$L$1022, 5, FALSE)</f>
        <v>#N/A</v>
      </c>
      <c r="P20" s="1029"/>
      <c r="Q20" s="1056" t="e">
        <f>VLOOKUP(M20,ASIGNATURAS!$F$1:$L$1022, 6, FALSE)</f>
        <v>#N/A</v>
      </c>
      <c r="R20" s="1057"/>
      <c r="S20" s="1057"/>
      <c r="T20" s="1057"/>
      <c r="U20" s="1057"/>
      <c r="V20" s="1057"/>
      <c r="W20" s="1057"/>
      <c r="X20" s="1057"/>
      <c r="Y20" s="1057"/>
      <c r="Z20" s="1057"/>
      <c r="AA20" s="1057"/>
      <c r="AB20" s="1057"/>
      <c r="AC20" s="1057"/>
      <c r="AD20" s="1057"/>
      <c r="AE20" s="1058"/>
    </row>
    <row r="21" spans="1:31" ht="13.8" x14ac:dyDescent="0.25">
      <c r="A21" s="1188" t="e">
        <f>VLOOKUP(M21,ASIGNATURAS!$F$1:$L$1022, 3, FALSE)</f>
        <v>#N/A</v>
      </c>
      <c r="B21" s="1189"/>
      <c r="C21" s="981" t="e">
        <f>VLOOKUP(M21,ASIGNATURAS!$F$1:$L$1022, 4, FALSE)</f>
        <v>#N/A</v>
      </c>
      <c r="D21" s="982"/>
      <c r="E21" s="982"/>
      <c r="F21" s="982"/>
      <c r="G21" s="982"/>
      <c r="H21" s="982"/>
      <c r="I21" s="982"/>
      <c r="J21" s="982"/>
      <c r="K21" s="982"/>
      <c r="L21" s="983"/>
      <c r="M21" s="936">
        <v>7060</v>
      </c>
      <c r="N21" s="937"/>
      <c r="O21" s="936" t="e">
        <f>VLOOKUP(M21,ASIGNATURAS!$F$1:$L$1022, 5, FALSE)</f>
        <v>#N/A</v>
      </c>
      <c r="P21" s="937"/>
      <c r="Q21" s="981" t="e">
        <f>VLOOKUP(M21,ASIGNATURAS!$F$1:$L$1022, 6, FALSE)</f>
        <v>#N/A</v>
      </c>
      <c r="R21" s="982"/>
      <c r="S21" s="982"/>
      <c r="T21" s="982"/>
      <c r="U21" s="982"/>
      <c r="V21" s="982"/>
      <c r="W21" s="982"/>
      <c r="X21" s="982"/>
      <c r="Y21" s="982"/>
      <c r="Z21" s="982"/>
      <c r="AA21" s="982"/>
      <c r="AB21" s="982"/>
      <c r="AC21" s="982"/>
      <c r="AD21" s="982"/>
      <c r="AE21" s="983"/>
    </row>
    <row r="22" spans="1:31" ht="13.8" x14ac:dyDescent="0.25">
      <c r="A22" s="1188" t="e">
        <f>VLOOKUP(M22,ASIGNATURAS!$F$1:$L$1022, 3, FALSE)</f>
        <v>#N/A</v>
      </c>
      <c r="B22" s="1189"/>
      <c r="C22" s="981" t="e">
        <f>VLOOKUP(M22,ASIGNATURAS!$F$1:$L$1022, 4, FALSE)</f>
        <v>#N/A</v>
      </c>
      <c r="D22" s="982"/>
      <c r="E22" s="982"/>
      <c r="F22" s="982"/>
      <c r="G22" s="982"/>
      <c r="H22" s="982"/>
      <c r="I22" s="982"/>
      <c r="J22" s="982"/>
      <c r="K22" s="982"/>
      <c r="L22" s="983"/>
      <c r="M22" s="936">
        <v>7061</v>
      </c>
      <c r="N22" s="937"/>
      <c r="O22" s="936" t="e">
        <f>VLOOKUP(M22,ASIGNATURAS!$F$1:$L$1022, 5, FALSE)</f>
        <v>#N/A</v>
      </c>
      <c r="P22" s="937"/>
      <c r="Q22" s="981" t="e">
        <f>VLOOKUP(M22,ASIGNATURAS!$F$1:$L$1022, 6, FALSE)</f>
        <v>#N/A</v>
      </c>
      <c r="R22" s="982"/>
      <c r="S22" s="982"/>
      <c r="T22" s="982"/>
      <c r="U22" s="982"/>
      <c r="V22" s="982"/>
      <c r="W22" s="982"/>
      <c r="X22" s="982"/>
      <c r="Y22" s="982"/>
      <c r="Z22" s="982"/>
      <c r="AA22" s="982"/>
      <c r="AB22" s="982"/>
      <c r="AC22" s="982"/>
      <c r="AD22" s="982"/>
      <c r="AE22" s="983"/>
    </row>
    <row r="23" spans="1:31" ht="13.8" x14ac:dyDescent="0.25">
      <c r="A23" s="1188" t="e">
        <f>VLOOKUP(M23,ASIGNATURAS!$F$1:$L$1022, 3, FALSE)</f>
        <v>#N/A</v>
      </c>
      <c r="B23" s="1189"/>
      <c r="C23" s="981" t="e">
        <f>VLOOKUP(M23,ASIGNATURAS!$F$1:$L$1022, 4, FALSE)</f>
        <v>#N/A</v>
      </c>
      <c r="D23" s="982"/>
      <c r="E23" s="982"/>
      <c r="F23" s="982"/>
      <c r="G23" s="982"/>
      <c r="H23" s="982"/>
      <c r="I23" s="982"/>
      <c r="J23" s="982"/>
      <c r="K23" s="982"/>
      <c r="L23" s="983"/>
      <c r="M23" s="936">
        <v>7062</v>
      </c>
      <c r="N23" s="937"/>
      <c r="O23" s="936" t="e">
        <f>VLOOKUP(M23,ASIGNATURAS!$F$1:$L$1022, 5, FALSE)</f>
        <v>#N/A</v>
      </c>
      <c r="P23" s="937"/>
      <c r="Q23" s="981" t="e">
        <f>VLOOKUP(M23,ASIGNATURAS!$F$1:$L$1022, 6, FALSE)</f>
        <v>#N/A</v>
      </c>
      <c r="R23" s="982"/>
      <c r="S23" s="982"/>
      <c r="T23" s="982"/>
      <c r="U23" s="982"/>
      <c r="V23" s="982"/>
      <c r="W23" s="982"/>
      <c r="X23" s="982"/>
      <c r="Y23" s="982"/>
      <c r="Z23" s="982"/>
      <c r="AA23" s="982"/>
      <c r="AB23" s="982"/>
      <c r="AC23" s="982"/>
      <c r="AD23" s="982"/>
      <c r="AE23" s="983"/>
    </row>
    <row r="24" spans="1:31" ht="13.8" x14ac:dyDescent="0.25">
      <c r="A24" s="1188" t="e">
        <f>VLOOKUP(M24,ASIGNATURAS!$F$1:$L$1022, 3, FALSE)</f>
        <v>#N/A</v>
      </c>
      <c r="B24" s="1189"/>
      <c r="C24" s="981" t="e">
        <f>VLOOKUP(M24,ASIGNATURAS!$F$1:$L$1022, 4, FALSE)</f>
        <v>#N/A</v>
      </c>
      <c r="D24" s="982"/>
      <c r="E24" s="982"/>
      <c r="F24" s="982"/>
      <c r="G24" s="982"/>
      <c r="H24" s="982"/>
      <c r="I24" s="982"/>
      <c r="J24" s="982"/>
      <c r="K24" s="982"/>
      <c r="L24" s="983"/>
      <c r="M24" s="936">
        <v>7063</v>
      </c>
      <c r="N24" s="937"/>
      <c r="O24" s="936" t="e">
        <f>VLOOKUP(M24,ASIGNATURAS!$F$1:$L$1022, 5, FALSE)</f>
        <v>#N/A</v>
      </c>
      <c r="P24" s="937"/>
      <c r="Q24" s="981" t="e">
        <f>VLOOKUP(M24,ASIGNATURAS!$F$1:$L$1022, 6, FALSE)</f>
        <v>#N/A</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165</v>
      </c>
      <c r="B27" s="2735"/>
      <c r="C27" s="2735"/>
      <c r="D27" s="2736"/>
    </row>
    <row r="28" spans="1:31" ht="24" customHeight="1" thickBot="1" x14ac:dyDescent="0.3">
      <c r="A28" s="2737" t="s">
        <v>166</v>
      </c>
      <c r="B28" s="2738"/>
      <c r="C28" s="2738"/>
      <c r="D28" s="2739"/>
    </row>
    <row r="30" spans="1:31" x14ac:dyDescent="0.25">
      <c r="A30" s="20" t="s">
        <v>213</v>
      </c>
    </row>
    <row r="31" spans="1:31" ht="13.8" thickBot="1" x14ac:dyDescent="0.3">
      <c r="A31" s="25"/>
    </row>
    <row r="32" spans="1:31" s="1" customFormat="1" ht="31.5" customHeight="1" thickBot="1" x14ac:dyDescent="0.45">
      <c r="A32" s="1135" t="str">
        <f>VLOOKUP(A35,ASIGNATURAS!$A$2:$D$151, 3, FALSE)</f>
        <v>1º Máster en Ingeniería Informática</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1"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t="s">
        <v>153</v>
      </c>
      <c r="AA33" s="1013"/>
      <c r="AB33" s="1013"/>
      <c r="AC33" s="1013"/>
      <c r="AD33" s="1013"/>
      <c r="AE33" s="1014"/>
    </row>
    <row r="34" spans="1:31"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1" ht="38.25" customHeight="1" thickBot="1" x14ac:dyDescent="0.3">
      <c r="A35" s="23" t="s">
        <v>127</v>
      </c>
    </row>
    <row r="36" spans="1:31"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1" ht="30" customHeight="1" x14ac:dyDescent="0.25">
      <c r="A37" s="1550" t="s">
        <v>183</v>
      </c>
      <c r="B37" s="1537" t="s">
        <v>480</v>
      </c>
      <c r="C37" s="1538"/>
      <c r="D37" s="1538"/>
      <c r="E37" s="1538"/>
      <c r="F37" s="1538"/>
      <c r="G37" s="1539"/>
      <c r="H37" s="1538" t="s">
        <v>448</v>
      </c>
      <c r="I37" s="1538"/>
      <c r="J37" s="1538"/>
      <c r="K37" s="1538"/>
      <c r="L37" s="1538"/>
      <c r="M37" s="1539"/>
      <c r="N37" s="1538" t="s">
        <v>514</v>
      </c>
      <c r="O37" s="1538"/>
      <c r="P37" s="1538"/>
      <c r="Q37" s="1538"/>
      <c r="R37" s="1538"/>
      <c r="S37" s="1539"/>
      <c r="T37" s="1538" t="s">
        <v>131</v>
      </c>
      <c r="U37" s="1538"/>
      <c r="V37" s="1538"/>
      <c r="W37" s="1538"/>
      <c r="X37" s="1538"/>
      <c r="Y37" s="1539"/>
      <c r="Z37" s="2746" t="s">
        <v>448</v>
      </c>
      <c r="AA37" s="2746"/>
      <c r="AB37" s="2746"/>
      <c r="AC37" s="2746"/>
      <c r="AD37" s="2746"/>
      <c r="AE37" s="2747"/>
    </row>
    <row r="38" spans="1:31" ht="30" customHeight="1" thickBot="1" x14ac:dyDescent="0.3">
      <c r="A38" s="1486"/>
      <c r="B38" s="2743" t="s">
        <v>153</v>
      </c>
      <c r="C38" s="2744"/>
      <c r="D38" s="2744"/>
      <c r="E38" s="2744"/>
      <c r="F38" s="2744"/>
      <c r="G38" s="2745"/>
      <c r="H38" s="2743" t="s">
        <v>153</v>
      </c>
      <c r="I38" s="2744"/>
      <c r="J38" s="2744"/>
      <c r="K38" s="2744"/>
      <c r="L38" s="2744"/>
      <c r="M38" s="2745"/>
      <c r="N38" s="2743" t="s">
        <v>153</v>
      </c>
      <c r="O38" s="2744"/>
      <c r="P38" s="2744"/>
      <c r="Q38" s="2744"/>
      <c r="R38" s="2744"/>
      <c r="S38" s="2745"/>
      <c r="T38" s="2743" t="s">
        <v>153</v>
      </c>
      <c r="U38" s="2744"/>
      <c r="V38" s="2744"/>
      <c r="W38" s="2744"/>
      <c r="X38" s="2744"/>
      <c r="Y38" s="2745"/>
      <c r="Z38" s="2729" t="s">
        <v>558</v>
      </c>
      <c r="AA38" s="2729"/>
      <c r="AB38" s="2729"/>
      <c r="AC38" s="2729"/>
      <c r="AD38" s="2729"/>
      <c r="AE38" s="2730"/>
    </row>
    <row r="39" spans="1:31" ht="30" customHeight="1" x14ac:dyDescent="0.25">
      <c r="A39" s="1550" t="s">
        <v>182</v>
      </c>
      <c r="B39" s="1537" t="s">
        <v>480</v>
      </c>
      <c r="C39" s="1538"/>
      <c r="D39" s="1538"/>
      <c r="E39" s="1538"/>
      <c r="F39" s="1538"/>
      <c r="G39" s="1539"/>
      <c r="H39" s="1538" t="s">
        <v>448</v>
      </c>
      <c r="I39" s="1538"/>
      <c r="J39" s="1538"/>
      <c r="K39" s="1538"/>
      <c r="L39" s="1538"/>
      <c r="M39" s="1539"/>
      <c r="N39" s="1538" t="s">
        <v>514</v>
      </c>
      <c r="O39" s="1538"/>
      <c r="P39" s="1538"/>
      <c r="Q39" s="1538"/>
      <c r="R39" s="1538"/>
      <c r="S39" s="1539"/>
      <c r="T39" s="1538" t="s">
        <v>131</v>
      </c>
      <c r="U39" s="1538"/>
      <c r="V39" s="1538"/>
      <c r="W39" s="1538"/>
      <c r="X39" s="1538"/>
      <c r="Y39" s="1539"/>
      <c r="Z39" s="2746" t="s">
        <v>448</v>
      </c>
      <c r="AA39" s="2746"/>
      <c r="AB39" s="2746"/>
      <c r="AC39" s="2746"/>
      <c r="AD39" s="2746"/>
      <c r="AE39" s="2747"/>
    </row>
    <row r="40" spans="1:31" ht="30" customHeight="1" thickBot="1" x14ac:dyDescent="0.3">
      <c r="A40" s="1486"/>
      <c r="B40" s="2743" t="s">
        <v>153</v>
      </c>
      <c r="C40" s="2744"/>
      <c r="D40" s="2744"/>
      <c r="E40" s="2744"/>
      <c r="F40" s="2744"/>
      <c r="G40" s="2745"/>
      <c r="H40" s="2743" t="s">
        <v>153</v>
      </c>
      <c r="I40" s="2744"/>
      <c r="J40" s="2744"/>
      <c r="K40" s="2744"/>
      <c r="L40" s="2744"/>
      <c r="M40" s="2745"/>
      <c r="N40" s="2743" t="s">
        <v>153</v>
      </c>
      <c r="O40" s="2744"/>
      <c r="P40" s="2744"/>
      <c r="Q40" s="2744"/>
      <c r="R40" s="2744"/>
      <c r="S40" s="2745"/>
      <c r="T40" s="2743" t="s">
        <v>153</v>
      </c>
      <c r="U40" s="2744"/>
      <c r="V40" s="2744"/>
      <c r="W40" s="2744"/>
      <c r="X40" s="2744"/>
      <c r="Y40" s="2745"/>
      <c r="Z40" s="2729" t="s">
        <v>558</v>
      </c>
      <c r="AA40" s="2729"/>
      <c r="AB40" s="2729"/>
      <c r="AC40" s="2729"/>
      <c r="AD40" s="2729"/>
      <c r="AE40" s="2730"/>
    </row>
    <row r="41" spans="1:31" ht="30" customHeight="1" x14ac:dyDescent="0.25">
      <c r="A41" s="1550" t="s">
        <v>184</v>
      </c>
      <c r="B41" s="2748" t="s">
        <v>514</v>
      </c>
      <c r="C41" s="2746"/>
      <c r="D41" s="2746"/>
      <c r="E41" s="2746"/>
      <c r="F41" s="2746"/>
      <c r="G41" s="2747"/>
      <c r="H41" s="2746" t="s">
        <v>480</v>
      </c>
      <c r="I41" s="2746"/>
      <c r="J41" s="2746"/>
      <c r="K41" s="2746"/>
      <c r="L41" s="2746"/>
      <c r="M41" s="2747"/>
      <c r="N41" s="2746" t="s">
        <v>131</v>
      </c>
      <c r="O41" s="2746"/>
      <c r="P41" s="2746"/>
      <c r="Q41" s="2746"/>
      <c r="R41" s="2746"/>
      <c r="S41" s="2747"/>
      <c r="T41" s="2746" t="s">
        <v>450</v>
      </c>
      <c r="U41" s="2746"/>
      <c r="V41" s="2746"/>
      <c r="W41" s="2746"/>
      <c r="X41" s="2746"/>
      <c r="Y41" s="2747"/>
      <c r="Z41" s="2741" t="s">
        <v>450</v>
      </c>
      <c r="AA41" s="2741"/>
      <c r="AB41" s="2741"/>
      <c r="AC41" s="2741"/>
      <c r="AD41" s="2741"/>
      <c r="AE41" s="2742"/>
    </row>
    <row r="42" spans="1:31" ht="30" customHeight="1" thickBot="1" x14ac:dyDescent="0.3">
      <c r="A42" s="1486"/>
      <c r="B42" s="2728" t="s">
        <v>153</v>
      </c>
      <c r="C42" s="2729"/>
      <c r="D42" s="2729"/>
      <c r="E42" s="2729"/>
      <c r="F42" s="2729"/>
      <c r="G42" s="2730"/>
      <c r="H42" s="2729" t="s">
        <v>554</v>
      </c>
      <c r="I42" s="2729"/>
      <c r="J42" s="2729"/>
      <c r="K42" s="2729"/>
      <c r="L42" s="2729"/>
      <c r="M42" s="2730"/>
      <c r="N42" s="2729" t="s">
        <v>557</v>
      </c>
      <c r="O42" s="2729"/>
      <c r="P42" s="2729"/>
      <c r="Q42" s="2729"/>
      <c r="R42" s="2729"/>
      <c r="S42" s="2730"/>
      <c r="T42" s="2729" t="s">
        <v>622</v>
      </c>
      <c r="U42" s="2729"/>
      <c r="V42" s="2729"/>
      <c r="W42" s="2729"/>
      <c r="X42" s="2729"/>
      <c r="Y42" s="2730"/>
      <c r="Z42" s="2744" t="s">
        <v>153</v>
      </c>
      <c r="AA42" s="2744"/>
      <c r="AB42" s="2744"/>
      <c r="AC42" s="2744"/>
      <c r="AD42" s="2744"/>
      <c r="AE42" s="2745"/>
    </row>
    <row r="43" spans="1:31" ht="30" customHeight="1" x14ac:dyDescent="0.25">
      <c r="A43" s="1550" t="s">
        <v>185</v>
      </c>
      <c r="B43" s="2748" t="s">
        <v>514</v>
      </c>
      <c r="C43" s="2746"/>
      <c r="D43" s="2746"/>
      <c r="E43" s="2746"/>
      <c r="F43" s="2746"/>
      <c r="G43" s="2747"/>
      <c r="H43" s="2746" t="s">
        <v>480</v>
      </c>
      <c r="I43" s="2746"/>
      <c r="J43" s="2746"/>
      <c r="K43" s="2746"/>
      <c r="L43" s="2746"/>
      <c r="M43" s="2747"/>
      <c r="N43" s="2746" t="s">
        <v>131</v>
      </c>
      <c r="O43" s="2746"/>
      <c r="P43" s="2746"/>
      <c r="Q43" s="2746"/>
      <c r="R43" s="2746"/>
      <c r="S43" s="2747"/>
      <c r="T43" s="2746" t="s">
        <v>450</v>
      </c>
      <c r="U43" s="2746"/>
      <c r="V43" s="2746"/>
      <c r="W43" s="2746"/>
      <c r="X43" s="2746"/>
      <c r="Y43" s="2747"/>
      <c r="Z43" s="2741" t="s">
        <v>450</v>
      </c>
      <c r="AA43" s="2741"/>
      <c r="AB43" s="2741"/>
      <c r="AC43" s="2741"/>
      <c r="AD43" s="2741"/>
      <c r="AE43" s="2742"/>
    </row>
    <row r="44" spans="1:31" ht="30" customHeight="1" thickBot="1" x14ac:dyDescent="0.3">
      <c r="A44" s="1486"/>
      <c r="B44" s="2728" t="s">
        <v>153</v>
      </c>
      <c r="C44" s="2729"/>
      <c r="D44" s="2729"/>
      <c r="E44" s="2729"/>
      <c r="F44" s="2729"/>
      <c r="G44" s="2730"/>
      <c r="H44" s="2729" t="s">
        <v>554</v>
      </c>
      <c r="I44" s="2729"/>
      <c r="J44" s="2729"/>
      <c r="K44" s="2729"/>
      <c r="L44" s="2729"/>
      <c r="M44" s="2730"/>
      <c r="N44" s="2729" t="s">
        <v>557</v>
      </c>
      <c r="O44" s="2729"/>
      <c r="P44" s="2729"/>
      <c r="Q44" s="2729"/>
      <c r="R44" s="2729"/>
      <c r="S44" s="2730"/>
      <c r="T44" s="2729" t="s">
        <v>623</v>
      </c>
      <c r="U44" s="2729"/>
      <c r="V44" s="2729"/>
      <c r="W44" s="2729"/>
      <c r="X44" s="2729"/>
      <c r="Y44" s="2730"/>
      <c r="Z44" s="2743" t="s">
        <v>153</v>
      </c>
      <c r="AA44" s="2744"/>
      <c r="AB44" s="2744"/>
      <c r="AC44" s="2744"/>
      <c r="AD44" s="2744"/>
      <c r="AE44" s="2745"/>
    </row>
    <row r="45" spans="1:31" ht="30" customHeight="1" x14ac:dyDescent="0.3">
      <c r="A45" s="1550" t="s">
        <v>186</v>
      </c>
      <c r="B45" s="1125"/>
      <c r="C45" s="1126"/>
      <c r="D45" s="1126"/>
      <c r="E45" s="1126"/>
      <c r="F45" s="1126"/>
      <c r="G45" s="1127"/>
      <c r="H45" s="1126"/>
      <c r="I45" s="1126"/>
      <c r="J45" s="1126"/>
      <c r="K45" s="1126"/>
      <c r="L45" s="1126"/>
      <c r="M45" s="1127"/>
      <c r="N45" s="1126"/>
      <c r="O45" s="1126"/>
      <c r="P45" s="1126"/>
      <c r="Q45" s="1126"/>
      <c r="R45" s="1126"/>
      <c r="S45" s="1127"/>
      <c r="T45" s="1126"/>
      <c r="U45" s="1126"/>
      <c r="V45" s="1126"/>
      <c r="W45" s="1126"/>
      <c r="X45" s="1126"/>
      <c r="Y45" s="1127"/>
      <c r="Z45" s="1126"/>
      <c r="AA45" s="1126"/>
      <c r="AB45" s="1126"/>
      <c r="AC45" s="1126"/>
      <c r="AD45" s="1126"/>
      <c r="AE45" s="1127"/>
    </row>
    <row r="46" spans="1:31" ht="30" customHeight="1" thickBot="1" x14ac:dyDescent="0.3">
      <c r="A46" s="1486"/>
      <c r="B46" s="1142"/>
      <c r="C46" s="1143"/>
      <c r="D46" s="1143"/>
      <c r="E46" s="1143"/>
      <c r="F46" s="1143"/>
      <c r="G46" s="1144"/>
      <c r="H46" s="1143"/>
      <c r="I46" s="1143"/>
      <c r="J46" s="1143"/>
      <c r="K46" s="1143"/>
      <c r="L46" s="1143"/>
      <c r="M46" s="1144"/>
      <c r="N46" s="1143"/>
      <c r="O46" s="1143"/>
      <c r="P46" s="1143"/>
      <c r="Q46" s="1143"/>
      <c r="R46" s="1143"/>
      <c r="S46" s="1144"/>
      <c r="T46" s="1143"/>
      <c r="U46" s="1143"/>
      <c r="V46" s="1143"/>
      <c r="W46" s="1143"/>
      <c r="X46" s="1143"/>
      <c r="Y46" s="1144"/>
      <c r="Z46" s="1143"/>
      <c r="AA46" s="1143"/>
      <c r="AB46" s="1143"/>
      <c r="AC46" s="1143"/>
      <c r="AD46" s="1143"/>
      <c r="AE46" s="1144"/>
    </row>
    <row r="47" spans="1:31" ht="30" customHeight="1" x14ac:dyDescent="0.3">
      <c r="A47" s="1550" t="s">
        <v>187</v>
      </c>
      <c r="B47" s="998"/>
      <c r="C47" s="999"/>
      <c r="D47" s="999"/>
      <c r="E47" s="999"/>
      <c r="F47" s="999"/>
      <c r="G47" s="1000"/>
      <c r="H47" s="999"/>
      <c r="I47" s="999"/>
      <c r="J47" s="999"/>
      <c r="K47" s="999"/>
      <c r="L47" s="999"/>
      <c r="M47" s="1000"/>
      <c r="N47" s="999"/>
      <c r="O47" s="999"/>
      <c r="P47" s="999"/>
      <c r="Q47" s="999"/>
      <c r="R47" s="999"/>
      <c r="S47" s="1000"/>
      <c r="T47" s="999"/>
      <c r="U47" s="999"/>
      <c r="V47" s="999"/>
      <c r="W47" s="999"/>
      <c r="X47" s="999"/>
      <c r="Y47" s="1000"/>
      <c r="Z47" s="999"/>
      <c r="AA47" s="999"/>
      <c r="AB47" s="999"/>
      <c r="AC47" s="999"/>
      <c r="AD47" s="999"/>
      <c r="AE47" s="1000"/>
    </row>
    <row r="48" spans="1:31" ht="30" customHeight="1" thickBot="1" x14ac:dyDescent="0.3">
      <c r="A48" s="1484"/>
      <c r="B48" s="1142"/>
      <c r="C48" s="1143"/>
      <c r="D48" s="1143"/>
      <c r="E48" s="1143"/>
      <c r="F48" s="1143"/>
      <c r="G48" s="1144"/>
      <c r="H48" s="1143"/>
      <c r="I48" s="1143"/>
      <c r="J48" s="1143"/>
      <c r="K48" s="1143"/>
      <c r="L48" s="1143"/>
      <c r="M48" s="1144"/>
      <c r="N48" s="1143"/>
      <c r="O48" s="1143"/>
      <c r="P48" s="1143"/>
      <c r="Q48" s="1143"/>
      <c r="R48" s="1143"/>
      <c r="S48" s="1144"/>
      <c r="T48" s="1143"/>
      <c r="U48" s="1143"/>
      <c r="V48" s="1143"/>
      <c r="W48" s="1143"/>
      <c r="X48" s="1143"/>
      <c r="Y48" s="1144"/>
      <c r="Z48" s="1143"/>
      <c r="AA48" s="1143"/>
      <c r="AB48" s="1143"/>
      <c r="AC48" s="1143"/>
      <c r="AD48" s="1143"/>
      <c r="AE48" s="1144"/>
    </row>
    <row r="49" spans="1:31" ht="89.25" customHeight="1" thickBot="1" x14ac:dyDescent="0.3"/>
    <row r="50" spans="1:31" ht="18.75" customHeight="1" thickBot="1" x14ac:dyDescent="0.3">
      <c r="A50" s="1033" t="s">
        <v>214</v>
      </c>
      <c r="B50" s="935"/>
      <c r="C50" s="934" t="s">
        <v>215</v>
      </c>
      <c r="D50" s="934"/>
      <c r="E50" s="934"/>
      <c r="F50" s="934"/>
      <c r="G50" s="934"/>
      <c r="H50" s="934"/>
      <c r="I50" s="934"/>
      <c r="J50" s="934"/>
      <c r="K50" s="934"/>
      <c r="L50" s="58"/>
      <c r="M50" s="1034" t="s">
        <v>328</v>
      </c>
      <c r="N50" s="1035"/>
      <c r="O50" s="934" t="s">
        <v>139</v>
      </c>
      <c r="P50" s="935"/>
      <c r="Q50" s="934" t="s">
        <v>163</v>
      </c>
      <c r="R50" s="934"/>
      <c r="S50" s="934"/>
      <c r="T50" s="934"/>
      <c r="U50" s="934"/>
      <c r="V50" s="934"/>
      <c r="W50" s="934"/>
      <c r="X50" s="934"/>
      <c r="Y50" s="934"/>
      <c r="Z50" s="934"/>
      <c r="AA50" s="934"/>
      <c r="AB50" s="934"/>
      <c r="AC50" s="934"/>
      <c r="AD50" s="934"/>
      <c r="AE50" s="935"/>
    </row>
    <row r="51" spans="1:31" ht="13.8" x14ac:dyDescent="0.25">
      <c r="A51" s="1036" t="e">
        <f>VLOOKUP(M51,ASIGNATURAS!$F$1:$L$1022, 3, FALSE)</f>
        <v>#N/A</v>
      </c>
      <c r="B51" s="1037"/>
      <c r="C51" s="1056" t="e">
        <f>VLOOKUP(M51,ASIGNATURAS!$F$1:$L$1022, 4, FALSE)</f>
        <v>#N/A</v>
      </c>
      <c r="D51" s="1057"/>
      <c r="E51" s="1057"/>
      <c r="F51" s="1057"/>
      <c r="G51" s="1057"/>
      <c r="H51" s="1057"/>
      <c r="I51" s="1057"/>
      <c r="J51" s="1057"/>
      <c r="K51" s="1057"/>
      <c r="L51" s="1058"/>
      <c r="M51" s="1028">
        <v>7064</v>
      </c>
      <c r="N51" s="1029"/>
      <c r="O51" s="1028" t="e">
        <f>VLOOKUP(M51,ASIGNATURAS!$F$1:$L$1022, 5, FALSE)</f>
        <v>#N/A</v>
      </c>
      <c r="P51" s="1029"/>
      <c r="Q51" s="1056" t="e">
        <f>VLOOKUP(M51,ASIGNATURAS!$F$1:$L$1022, 6, FALSE)</f>
        <v>#N/A</v>
      </c>
      <c r="R51" s="1057"/>
      <c r="S51" s="1057"/>
      <c r="T51" s="1057"/>
      <c r="U51" s="1057"/>
      <c r="V51" s="1057"/>
      <c r="W51" s="1057"/>
      <c r="X51" s="1057"/>
      <c r="Y51" s="1057"/>
      <c r="Z51" s="1057"/>
      <c r="AA51" s="1057"/>
      <c r="AB51" s="1057"/>
      <c r="AC51" s="1057"/>
      <c r="AD51" s="1057"/>
      <c r="AE51" s="1058"/>
    </row>
    <row r="52" spans="1:31" ht="13.8" x14ac:dyDescent="0.25">
      <c r="A52" s="1188" t="e">
        <f>VLOOKUP(M52,ASIGNATURAS!$F$1:$L$1022, 3, FALSE)</f>
        <v>#N/A</v>
      </c>
      <c r="B52" s="1189"/>
      <c r="C52" s="981" t="e">
        <f>VLOOKUP(M52,ASIGNATURAS!$F$1:$L$1022, 4, FALSE)</f>
        <v>#N/A</v>
      </c>
      <c r="D52" s="982"/>
      <c r="E52" s="982"/>
      <c r="F52" s="982"/>
      <c r="G52" s="982"/>
      <c r="H52" s="982"/>
      <c r="I52" s="982"/>
      <c r="J52" s="982"/>
      <c r="K52" s="982"/>
      <c r="L52" s="983"/>
      <c r="M52" s="936">
        <v>7065</v>
      </c>
      <c r="N52" s="937"/>
      <c r="O52" s="936" t="e">
        <f>VLOOKUP(M52,ASIGNATURAS!$F$1:$L$1022, 5, FALSE)</f>
        <v>#N/A</v>
      </c>
      <c r="P52" s="937"/>
      <c r="Q52" s="981" t="e">
        <f>VLOOKUP(M52,ASIGNATURAS!$F$1:$L$1022, 6, FALSE)</f>
        <v>#N/A</v>
      </c>
      <c r="R52" s="982"/>
      <c r="S52" s="982"/>
      <c r="T52" s="982"/>
      <c r="U52" s="982"/>
      <c r="V52" s="982"/>
      <c r="W52" s="982"/>
      <c r="X52" s="982"/>
      <c r="Y52" s="982"/>
      <c r="Z52" s="982"/>
      <c r="AA52" s="982"/>
      <c r="AB52" s="982"/>
      <c r="AC52" s="982"/>
      <c r="AD52" s="982"/>
      <c r="AE52" s="983"/>
    </row>
    <row r="53" spans="1:31" ht="13.8" x14ac:dyDescent="0.25">
      <c r="A53" s="1188" t="e">
        <f>VLOOKUP(M53,ASIGNATURAS!$F$1:$L$1022, 3, FALSE)</f>
        <v>#N/A</v>
      </c>
      <c r="B53" s="1189"/>
      <c r="C53" s="981" t="e">
        <f>VLOOKUP(M53,ASIGNATURAS!$F$1:$L$1022, 4, FALSE)</f>
        <v>#N/A</v>
      </c>
      <c r="D53" s="982"/>
      <c r="E53" s="982"/>
      <c r="F53" s="982"/>
      <c r="G53" s="982"/>
      <c r="H53" s="982"/>
      <c r="I53" s="982"/>
      <c r="J53" s="982"/>
      <c r="K53" s="982"/>
      <c r="L53" s="983"/>
      <c r="M53" s="936">
        <v>7066</v>
      </c>
      <c r="N53" s="937"/>
      <c r="O53" s="936" t="e">
        <f>VLOOKUP(M53,ASIGNATURAS!$F$1:$L$1022, 5, FALSE)</f>
        <v>#N/A</v>
      </c>
      <c r="P53" s="937"/>
      <c r="Q53" s="981" t="e">
        <f>VLOOKUP(M53,ASIGNATURAS!$F$1:$L$1022, 6, FALSE)</f>
        <v>#N/A</v>
      </c>
      <c r="R53" s="982"/>
      <c r="S53" s="982"/>
      <c r="T53" s="982"/>
      <c r="U53" s="982"/>
      <c r="V53" s="982"/>
      <c r="W53" s="982"/>
      <c r="X53" s="982"/>
      <c r="Y53" s="982"/>
      <c r="Z53" s="982"/>
      <c r="AA53" s="982"/>
      <c r="AB53" s="982"/>
      <c r="AC53" s="982"/>
      <c r="AD53" s="982"/>
      <c r="AE53" s="983"/>
    </row>
    <row r="54" spans="1:31" ht="13.8" x14ac:dyDescent="0.25">
      <c r="A54" s="1188" t="e">
        <f>VLOOKUP(M54,ASIGNATURAS!$F$1:$L$1022, 3, FALSE)</f>
        <v>#N/A</v>
      </c>
      <c r="B54" s="1189"/>
      <c r="C54" s="981" t="e">
        <f>VLOOKUP(M54,ASIGNATURAS!$F$1:$L$1022, 4, FALSE)</f>
        <v>#N/A</v>
      </c>
      <c r="D54" s="982"/>
      <c r="E54" s="982"/>
      <c r="F54" s="982"/>
      <c r="G54" s="982"/>
      <c r="H54" s="982"/>
      <c r="I54" s="982"/>
      <c r="J54" s="982"/>
      <c r="K54" s="982"/>
      <c r="L54" s="983"/>
      <c r="M54" s="936">
        <v>7067</v>
      </c>
      <c r="N54" s="937"/>
      <c r="O54" s="936" t="e">
        <f>VLOOKUP(M54,ASIGNATURAS!$F$1:$L$1022, 5, FALSE)</f>
        <v>#N/A</v>
      </c>
      <c r="P54" s="937"/>
      <c r="Q54" s="981" t="e">
        <f>VLOOKUP(M54,ASIGNATURAS!$F$1:$L$1022, 6, FALSE)</f>
        <v>#N/A</v>
      </c>
      <c r="R54" s="982"/>
      <c r="S54" s="982"/>
      <c r="T54" s="982"/>
      <c r="U54" s="982"/>
      <c r="V54" s="982"/>
      <c r="W54" s="982"/>
      <c r="X54" s="982"/>
      <c r="Y54" s="982"/>
      <c r="Z54" s="982"/>
      <c r="AA54" s="982"/>
      <c r="AB54" s="982"/>
      <c r="AC54" s="982"/>
      <c r="AD54" s="982"/>
      <c r="AE54" s="983"/>
    </row>
    <row r="55" spans="1:31" ht="14.4" thickBot="1" x14ac:dyDescent="0.3">
      <c r="A55" s="1201" t="e">
        <f>VLOOKUP(M55,ASIGNATURAS!$F$1:$L$1022, 3, FALSE)</f>
        <v>#N/A</v>
      </c>
      <c r="B55" s="1372"/>
      <c r="C55" s="1022" t="e">
        <f>VLOOKUP(M55,ASIGNATURAS!$F$1:$L$1022, 4, FALSE)</f>
        <v>#N/A</v>
      </c>
      <c r="D55" s="1023"/>
      <c r="E55" s="1023"/>
      <c r="F55" s="1023"/>
      <c r="G55" s="1023"/>
      <c r="H55" s="1023"/>
      <c r="I55" s="1023"/>
      <c r="J55" s="1023"/>
      <c r="K55" s="1023"/>
      <c r="L55" s="1024"/>
      <c r="M55" s="1295">
        <v>7068</v>
      </c>
      <c r="N55" s="1296"/>
      <c r="O55" s="1295" t="e">
        <f>VLOOKUP(M55,ASIGNATURAS!$F$1:$L$1022, 5, FALSE)</f>
        <v>#N/A</v>
      </c>
      <c r="P55" s="1296"/>
      <c r="Q55" s="1022" t="e">
        <f>VLOOKUP(M55,ASIGNATURAS!$F$1:$L$1022, 6, FALSE)</f>
        <v>#N/A</v>
      </c>
      <c r="R55" s="1023"/>
      <c r="S55" s="1023"/>
      <c r="T55" s="1023"/>
      <c r="U55" s="1023"/>
      <c r="V55" s="1023"/>
      <c r="W55" s="1023"/>
      <c r="X55" s="1023"/>
      <c r="Y55" s="1023"/>
      <c r="Z55" s="1023"/>
      <c r="AA55" s="1023"/>
      <c r="AB55" s="1023"/>
      <c r="AC55" s="1023"/>
      <c r="AD55" s="1023"/>
      <c r="AE55" s="1024"/>
    </row>
    <row r="57" spans="1:31" ht="13.8" thickBot="1" x14ac:dyDescent="0.3"/>
    <row r="58" spans="1:31" ht="24" customHeight="1" thickBot="1" x14ac:dyDescent="0.3">
      <c r="A58" s="1677" t="s">
        <v>165</v>
      </c>
      <c r="B58" s="1678"/>
      <c r="C58" s="1678"/>
      <c r="D58" s="1679"/>
    </row>
    <row r="59" spans="1:31" ht="24" customHeight="1" thickBot="1" x14ac:dyDescent="0.3">
      <c r="A59" s="2737" t="s">
        <v>166</v>
      </c>
      <c r="B59" s="2738"/>
      <c r="C59" s="2738"/>
      <c r="D59" s="2739"/>
    </row>
    <row r="61" spans="1:31" x14ac:dyDescent="0.25">
      <c r="A61" s="20" t="s">
        <v>213</v>
      </c>
    </row>
    <row r="63" spans="1:31" ht="13.8" thickBot="1" x14ac:dyDescent="0.3">
      <c r="A63" s="25"/>
    </row>
    <row r="64" spans="1:31" s="1" customFormat="1" ht="31.5" customHeight="1" thickBot="1" x14ac:dyDescent="0.45">
      <c r="A64" s="1135" t="str">
        <f>VLOOKUP(A67,ASIGNATURAS!$A$2:$D$151, 3, FALSE)</f>
        <v>2º Máster en Ingeniería Informática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Z1</f>
        <v>Curso 2024-2025</v>
      </c>
      <c r="AA64" s="1065"/>
      <c r="AB64" s="1065"/>
      <c r="AC64" s="1065"/>
      <c r="AD64" s="1065"/>
      <c r="AE64" s="1066"/>
    </row>
    <row r="65" spans="1:31" s="8" customFormat="1" ht="23.25" customHeight="1" thickBot="1" x14ac:dyDescent="0.45">
      <c r="A65" s="1132" t="str">
        <f>VLOOKUP(A67,ASIGNATURAS!$A$2:$D$151, 2, FALSE)</f>
        <v>Semestre temporal: 1º        (3º Semestre Académico)</v>
      </c>
      <c r="B65" s="1133"/>
      <c r="C65" s="1133"/>
      <c r="D65" s="1133"/>
      <c r="E65" s="1133"/>
      <c r="F65" s="1133"/>
      <c r="G65" s="1133"/>
      <c r="H65" s="1133"/>
      <c r="I65" s="1133"/>
      <c r="J65" s="1133"/>
      <c r="K65" s="1133"/>
      <c r="L65" s="1133"/>
      <c r="M65" s="1133"/>
      <c r="N65" s="1133"/>
      <c r="O65" s="1133"/>
      <c r="P65" s="1133"/>
      <c r="Q65" s="1133"/>
      <c r="R65" s="1133"/>
      <c r="S65" s="1133"/>
      <c r="T65" s="1133"/>
      <c r="U65" s="1133"/>
      <c r="V65" s="1133"/>
      <c r="W65" s="1133"/>
      <c r="X65" s="1133"/>
      <c r="Y65" s="1134"/>
      <c r="Z65" s="1013" t="s">
        <v>148</v>
      </c>
      <c r="AA65" s="1013"/>
      <c r="AB65" s="1013"/>
      <c r="AC65" s="1013"/>
      <c r="AD65" s="1013"/>
      <c r="AE65" s="1014"/>
    </row>
    <row r="66" spans="1:31" s="8" customFormat="1" ht="23.25" customHeight="1" thickBot="1" x14ac:dyDescent="0.45">
      <c r="A66" s="1132" t="s">
        <v>177</v>
      </c>
      <c r="B66" s="1133"/>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015"/>
      <c r="AA66" s="1015"/>
      <c r="AB66" s="1015"/>
      <c r="AC66" s="1015"/>
      <c r="AD66" s="1015"/>
      <c r="AE66" s="1016"/>
    </row>
    <row r="67" spans="1:31" ht="29.25" customHeight="1" thickBot="1" x14ac:dyDescent="0.3">
      <c r="A67" s="23" t="s">
        <v>128</v>
      </c>
    </row>
    <row r="68" spans="1:31" s="2" customFormat="1" ht="24" customHeight="1" thickBot="1" x14ac:dyDescent="0.3">
      <c r="A68" s="24" t="s">
        <v>1</v>
      </c>
      <c r="B68" s="976" t="s">
        <v>2</v>
      </c>
      <c r="C68" s="976"/>
      <c r="D68" s="976"/>
      <c r="E68" s="976"/>
      <c r="F68" s="976"/>
      <c r="G68" s="2740"/>
      <c r="H68" s="976" t="s">
        <v>3</v>
      </c>
      <c r="I68" s="976"/>
      <c r="J68" s="976"/>
      <c r="K68" s="976"/>
      <c r="L68" s="976"/>
      <c r="M68" s="2740"/>
      <c r="N68" s="976" t="s">
        <v>135</v>
      </c>
      <c r="O68" s="976"/>
      <c r="P68" s="976"/>
      <c r="Q68" s="976"/>
      <c r="R68" s="976"/>
      <c r="S68" s="2740"/>
      <c r="T68" s="976" t="s">
        <v>4</v>
      </c>
      <c r="U68" s="976"/>
      <c r="V68" s="976"/>
      <c r="W68" s="976"/>
      <c r="X68" s="976"/>
      <c r="Y68" s="2740"/>
      <c r="Z68" s="976" t="s">
        <v>5</v>
      </c>
      <c r="AA68" s="976"/>
      <c r="AB68" s="976"/>
      <c r="AC68" s="976"/>
      <c r="AD68" s="976"/>
      <c r="AE68" s="977"/>
    </row>
    <row r="69" spans="1:31" ht="22.5" customHeight="1" x14ac:dyDescent="0.3">
      <c r="A69" s="1128" t="s">
        <v>10</v>
      </c>
      <c r="B69" s="2758"/>
      <c r="C69" s="2756"/>
      <c r="D69" s="2756"/>
      <c r="E69" s="2756"/>
      <c r="F69" s="2756"/>
      <c r="G69" s="2757"/>
      <c r="H69" s="2754"/>
      <c r="I69" s="2754"/>
      <c r="J69" s="2754"/>
      <c r="K69" s="2754"/>
      <c r="L69" s="2754"/>
      <c r="M69" s="2755"/>
      <c r="N69" s="2756"/>
      <c r="O69" s="2756"/>
      <c r="P69" s="2756"/>
      <c r="Q69" s="2756"/>
      <c r="R69" s="2756"/>
      <c r="S69" s="2757"/>
      <c r="T69" s="2756"/>
      <c r="U69" s="2756"/>
      <c r="V69" s="2756"/>
      <c r="W69" s="2756"/>
      <c r="X69" s="2756"/>
      <c r="Y69" s="2757"/>
      <c r="Z69" s="2756"/>
      <c r="AA69" s="2756"/>
      <c r="AB69" s="2756"/>
      <c r="AC69" s="2756"/>
      <c r="AD69" s="2756"/>
      <c r="AE69" s="2757"/>
    </row>
    <row r="70" spans="1:31" ht="22.5" customHeight="1" thickBot="1" x14ac:dyDescent="0.3">
      <c r="A70" s="1105"/>
      <c r="B70" s="2749"/>
      <c r="C70" s="2750"/>
      <c r="D70" s="2750"/>
      <c r="E70" s="2750"/>
      <c r="F70" s="2750"/>
      <c r="G70" s="2751"/>
      <c r="H70" s="2752"/>
      <c r="I70" s="2752"/>
      <c r="J70" s="2752"/>
      <c r="K70" s="2752"/>
      <c r="L70" s="2752"/>
      <c r="M70" s="2753"/>
      <c r="N70" s="2750"/>
      <c r="O70" s="2750"/>
      <c r="P70" s="2750"/>
      <c r="Q70" s="2750"/>
      <c r="R70" s="2750"/>
      <c r="S70" s="2751"/>
      <c r="T70" s="2750"/>
      <c r="U70" s="2750"/>
      <c r="V70" s="2750"/>
      <c r="W70" s="2750"/>
      <c r="X70" s="2750"/>
      <c r="Y70" s="2751"/>
      <c r="Z70" s="2750"/>
      <c r="AA70" s="2750"/>
      <c r="AB70" s="2750"/>
      <c r="AC70" s="2750"/>
      <c r="AD70" s="2750"/>
      <c r="AE70" s="2751"/>
    </row>
    <row r="71" spans="1:31" ht="22.5" customHeight="1" x14ac:dyDescent="0.3">
      <c r="A71" s="1483" t="s">
        <v>11</v>
      </c>
      <c r="B71" s="2758"/>
      <c r="C71" s="2756"/>
      <c r="D71" s="2756"/>
      <c r="E71" s="2756"/>
      <c r="F71" s="2756"/>
      <c r="G71" s="2757"/>
      <c r="H71" s="2754"/>
      <c r="I71" s="2754"/>
      <c r="J71" s="2754"/>
      <c r="K71" s="2754"/>
      <c r="L71" s="2754"/>
      <c r="M71" s="2755"/>
      <c r="N71" s="2756"/>
      <c r="O71" s="2756"/>
      <c r="P71" s="2756"/>
      <c r="Q71" s="2756"/>
      <c r="R71" s="2756"/>
      <c r="S71" s="2757"/>
      <c r="T71" s="2756"/>
      <c r="U71" s="2756"/>
      <c r="V71" s="2756"/>
      <c r="W71" s="2756"/>
      <c r="X71" s="2756"/>
      <c r="Y71" s="2757"/>
      <c r="Z71" s="2756"/>
      <c r="AA71" s="2756"/>
      <c r="AB71" s="2756"/>
      <c r="AC71" s="2756"/>
      <c r="AD71" s="2756"/>
      <c r="AE71" s="2757"/>
    </row>
    <row r="72" spans="1:31" ht="22.5" customHeight="1" thickBot="1" x14ac:dyDescent="0.3">
      <c r="A72" s="1486"/>
      <c r="B72" s="2749"/>
      <c r="C72" s="2750"/>
      <c r="D72" s="2750"/>
      <c r="E72" s="2750"/>
      <c r="F72" s="2750"/>
      <c r="G72" s="2751"/>
      <c r="H72" s="2752"/>
      <c r="I72" s="2752"/>
      <c r="J72" s="2752"/>
      <c r="K72" s="2752"/>
      <c r="L72" s="2752"/>
      <c r="M72" s="2753"/>
      <c r="N72" s="2750"/>
      <c r="O72" s="2750"/>
      <c r="P72" s="2750"/>
      <c r="Q72" s="2750"/>
      <c r="R72" s="2750"/>
      <c r="S72" s="2751"/>
      <c r="T72" s="2750"/>
      <c r="U72" s="2750"/>
      <c r="V72" s="2750"/>
      <c r="W72" s="2750"/>
      <c r="X72" s="2750"/>
      <c r="Y72" s="2751"/>
      <c r="Z72" s="2750"/>
      <c r="AA72" s="2750"/>
      <c r="AB72" s="2750"/>
      <c r="AC72" s="2750"/>
      <c r="AD72" s="2750"/>
      <c r="AE72" s="2751"/>
    </row>
    <row r="73" spans="1:31" ht="22.5" customHeight="1" x14ac:dyDescent="0.3">
      <c r="A73" s="1550" t="s">
        <v>6</v>
      </c>
      <c r="B73" s="2761"/>
      <c r="C73" s="2762"/>
      <c r="D73" s="2762"/>
      <c r="E73" s="2762"/>
      <c r="F73" s="2762"/>
      <c r="G73" s="2763"/>
      <c r="H73" s="2764"/>
      <c r="I73" s="2764"/>
      <c r="J73" s="2764"/>
      <c r="K73" s="2764"/>
      <c r="L73" s="2764"/>
      <c r="M73" s="2765"/>
      <c r="N73" s="2762"/>
      <c r="O73" s="2762"/>
      <c r="P73" s="2762"/>
      <c r="Q73" s="2762"/>
      <c r="R73" s="2762"/>
      <c r="S73" s="2763"/>
      <c r="T73" s="2762"/>
      <c r="U73" s="2762"/>
      <c r="V73" s="2762"/>
      <c r="W73" s="2762"/>
      <c r="X73" s="2762"/>
      <c r="Y73" s="2763"/>
      <c r="Z73" s="2762"/>
      <c r="AA73" s="2762"/>
      <c r="AB73" s="2762"/>
      <c r="AC73" s="2762"/>
      <c r="AD73" s="2762"/>
      <c r="AE73" s="2763"/>
    </row>
    <row r="74" spans="1:31" ht="22.5" customHeight="1" thickBot="1" x14ac:dyDescent="0.3">
      <c r="A74" s="1486"/>
      <c r="B74" s="2749"/>
      <c r="C74" s="2750"/>
      <c r="D74" s="2750"/>
      <c r="E74" s="2750"/>
      <c r="F74" s="2750"/>
      <c r="G74" s="2751"/>
      <c r="H74" s="2752"/>
      <c r="I74" s="2752"/>
      <c r="J74" s="2752"/>
      <c r="K74" s="2752"/>
      <c r="L74" s="2752"/>
      <c r="M74" s="2753"/>
      <c r="N74" s="2759"/>
      <c r="O74" s="2759"/>
      <c r="P74" s="2759"/>
      <c r="Q74" s="2759"/>
      <c r="R74" s="2759"/>
      <c r="S74" s="2760"/>
      <c r="T74" s="2750"/>
      <c r="U74" s="2750"/>
      <c r="V74" s="2750"/>
      <c r="W74" s="2750"/>
      <c r="X74" s="2750"/>
      <c r="Y74" s="2751"/>
      <c r="Z74" s="2750"/>
      <c r="AA74" s="2750"/>
      <c r="AB74" s="2750"/>
      <c r="AC74" s="2750"/>
      <c r="AD74" s="2750"/>
      <c r="AE74" s="2751"/>
    </row>
    <row r="75" spans="1:31" ht="22.5" customHeight="1" x14ac:dyDescent="0.3">
      <c r="A75" s="1100" t="s">
        <v>7</v>
      </c>
      <c r="B75" s="2758"/>
      <c r="C75" s="2756"/>
      <c r="D75" s="2756"/>
      <c r="E75" s="2756"/>
      <c r="F75" s="2756"/>
      <c r="G75" s="2757"/>
      <c r="H75" s="2754"/>
      <c r="I75" s="2754"/>
      <c r="J75" s="2754"/>
      <c r="K75" s="2754"/>
      <c r="L75" s="2754"/>
      <c r="M75" s="2755"/>
      <c r="N75" s="2756"/>
      <c r="O75" s="2756"/>
      <c r="P75" s="2756"/>
      <c r="Q75" s="2756"/>
      <c r="R75" s="2756"/>
      <c r="S75" s="2757"/>
      <c r="T75" s="2756"/>
      <c r="U75" s="2756"/>
      <c r="V75" s="2756"/>
      <c r="W75" s="2756"/>
      <c r="X75" s="2756"/>
      <c r="Y75" s="2757"/>
      <c r="Z75" s="2756"/>
      <c r="AA75" s="2756"/>
      <c r="AB75" s="2756"/>
      <c r="AC75" s="2756"/>
      <c r="AD75" s="2756"/>
      <c r="AE75" s="2757"/>
    </row>
    <row r="76" spans="1:31" ht="22.5" customHeight="1" thickBot="1" x14ac:dyDescent="0.3">
      <c r="A76" s="1105"/>
      <c r="B76" s="2749"/>
      <c r="C76" s="2750"/>
      <c r="D76" s="2750"/>
      <c r="E76" s="2750"/>
      <c r="F76" s="2750"/>
      <c r="G76" s="2751"/>
      <c r="H76" s="2752"/>
      <c r="I76" s="2752"/>
      <c r="J76" s="2752"/>
      <c r="K76" s="2752"/>
      <c r="L76" s="2752"/>
      <c r="M76" s="2753"/>
      <c r="N76" s="2750"/>
      <c r="O76" s="2750"/>
      <c r="P76" s="2750"/>
      <c r="Q76" s="2750"/>
      <c r="R76" s="2750"/>
      <c r="S76" s="2751"/>
      <c r="T76" s="2750"/>
      <c r="U76" s="2750"/>
      <c r="V76" s="2750"/>
      <c r="W76" s="2750"/>
      <c r="X76" s="2750"/>
      <c r="Y76" s="2751"/>
      <c r="Z76" s="2750"/>
      <c r="AA76" s="2750"/>
      <c r="AB76" s="2750"/>
      <c r="AC76" s="2750"/>
      <c r="AD76" s="2750"/>
      <c r="AE76" s="2751"/>
    </row>
    <row r="77" spans="1:31" ht="22.5" customHeight="1" x14ac:dyDescent="0.3">
      <c r="A77" s="1105" t="s">
        <v>8</v>
      </c>
      <c r="B77" s="2762"/>
      <c r="C77" s="2762"/>
      <c r="D77" s="2762"/>
      <c r="E77" s="2762"/>
      <c r="F77" s="2762"/>
      <c r="G77" s="2763"/>
      <c r="H77" s="2762"/>
      <c r="I77" s="2762"/>
      <c r="J77" s="2762"/>
      <c r="K77" s="2762"/>
      <c r="L77" s="2762"/>
      <c r="M77" s="2763"/>
      <c r="N77" s="2762"/>
      <c r="O77" s="2762"/>
      <c r="P77" s="2762"/>
      <c r="Q77" s="2762"/>
      <c r="R77" s="2762"/>
      <c r="S77" s="2763"/>
      <c r="T77" s="2762"/>
      <c r="U77" s="2762"/>
      <c r="V77" s="2762"/>
      <c r="W77" s="2762"/>
      <c r="X77" s="2762"/>
      <c r="Y77" s="2763"/>
      <c r="Z77" s="2762"/>
      <c r="AA77" s="2762"/>
      <c r="AB77" s="2762"/>
      <c r="AC77" s="2762"/>
      <c r="AD77" s="2762"/>
      <c r="AE77" s="2763"/>
    </row>
    <row r="78" spans="1:31" ht="22.5" customHeight="1" thickBot="1" x14ac:dyDescent="0.3">
      <c r="A78" s="1321"/>
      <c r="B78" s="2750"/>
      <c r="C78" s="2750"/>
      <c r="D78" s="2750"/>
      <c r="E78" s="2750"/>
      <c r="F78" s="2750"/>
      <c r="G78" s="2751"/>
      <c r="H78" s="2750"/>
      <c r="I78" s="2750"/>
      <c r="J78" s="2750"/>
      <c r="K78" s="2750"/>
      <c r="L78" s="2750"/>
      <c r="M78" s="2751"/>
      <c r="N78" s="2759"/>
      <c r="O78" s="2759"/>
      <c r="P78" s="2759"/>
      <c r="Q78" s="2759"/>
      <c r="R78" s="2759"/>
      <c r="S78" s="2760"/>
      <c r="T78" s="2759"/>
      <c r="U78" s="2759"/>
      <c r="V78" s="2759"/>
      <c r="W78" s="2759"/>
      <c r="X78" s="2759"/>
      <c r="Y78" s="2760"/>
      <c r="Z78" s="2750"/>
      <c r="AA78" s="2750"/>
      <c r="AB78" s="2750"/>
      <c r="AC78" s="2750"/>
      <c r="AD78" s="2750"/>
      <c r="AE78" s="2751"/>
    </row>
    <row r="79" spans="1:31" ht="22.5" customHeight="1" x14ac:dyDescent="0.3">
      <c r="A79" s="1321" t="s">
        <v>9</v>
      </c>
      <c r="B79" s="2770"/>
      <c r="C79" s="2770"/>
      <c r="D79" s="2770"/>
      <c r="E79" s="2770"/>
      <c r="F79" s="2770"/>
      <c r="G79" s="2771"/>
      <c r="H79" s="2770"/>
      <c r="I79" s="2770"/>
      <c r="J79" s="2770"/>
      <c r="K79" s="2770"/>
      <c r="L79" s="2770"/>
      <c r="M79" s="2771"/>
      <c r="N79" s="2762"/>
      <c r="O79" s="2762"/>
      <c r="P79" s="2762"/>
      <c r="Q79" s="2762"/>
      <c r="R79" s="2762"/>
      <c r="S79" s="2763"/>
      <c r="T79" s="2762"/>
      <c r="U79" s="2762"/>
      <c r="V79" s="2762"/>
      <c r="W79" s="2762"/>
      <c r="X79" s="2762"/>
      <c r="Y79" s="2763"/>
      <c r="Z79" s="2762"/>
      <c r="AA79" s="2762"/>
      <c r="AB79" s="2762"/>
      <c r="AC79" s="2762"/>
      <c r="AD79" s="2762"/>
      <c r="AE79" s="2763"/>
    </row>
    <row r="80" spans="1:31" ht="22.5" customHeight="1" thickBot="1" x14ac:dyDescent="0.3">
      <c r="A80" s="1338"/>
      <c r="B80" s="2750"/>
      <c r="C80" s="2750"/>
      <c r="D80" s="2750"/>
      <c r="E80" s="2750"/>
      <c r="F80" s="2750"/>
      <c r="G80" s="2751"/>
      <c r="H80" s="2750"/>
      <c r="I80" s="2750"/>
      <c r="J80" s="2750"/>
      <c r="K80" s="2750"/>
      <c r="L80" s="2750"/>
      <c r="M80" s="2751"/>
      <c r="N80" s="2750"/>
      <c r="O80" s="2750"/>
      <c r="P80" s="2750"/>
      <c r="Q80" s="2750"/>
      <c r="R80" s="2750"/>
      <c r="S80" s="2751"/>
      <c r="T80" s="2750"/>
      <c r="U80" s="2750"/>
      <c r="V80" s="2750"/>
      <c r="W80" s="2750"/>
      <c r="X80" s="2750"/>
      <c r="Y80" s="2751"/>
      <c r="Z80" s="2750"/>
      <c r="AA80" s="2750"/>
      <c r="AB80" s="2750"/>
      <c r="AC80" s="2750"/>
      <c r="AD80" s="2750"/>
      <c r="AE80" s="2751"/>
    </row>
    <row r="81" spans="1:31" s="2" customFormat="1" ht="18.75" customHeight="1" thickBot="1" x14ac:dyDescent="0.3">
      <c r="A81" s="24" t="s">
        <v>1</v>
      </c>
      <c r="B81" s="975" t="s">
        <v>2</v>
      </c>
      <c r="C81" s="976"/>
      <c r="D81" s="976"/>
      <c r="E81" s="976"/>
      <c r="F81" s="976"/>
      <c r="G81" s="977"/>
      <c r="H81" s="976" t="s">
        <v>3</v>
      </c>
      <c r="I81" s="976"/>
      <c r="J81" s="976"/>
      <c r="K81" s="976"/>
      <c r="L81" s="976"/>
      <c r="M81" s="977"/>
      <c r="N81" s="976" t="s">
        <v>135</v>
      </c>
      <c r="O81" s="976"/>
      <c r="P81" s="976"/>
      <c r="Q81" s="976"/>
      <c r="R81" s="976"/>
      <c r="S81" s="977"/>
      <c r="T81" s="976" t="s">
        <v>4</v>
      </c>
      <c r="U81" s="976"/>
      <c r="V81" s="976"/>
      <c r="W81" s="976"/>
      <c r="X81" s="976"/>
      <c r="Y81" s="977"/>
      <c r="Z81" s="976" t="s">
        <v>5</v>
      </c>
      <c r="AA81" s="976"/>
      <c r="AB81" s="976"/>
      <c r="AC81" s="976"/>
      <c r="AD81" s="976"/>
      <c r="AE81" s="977"/>
    </row>
    <row r="82" spans="1:31" ht="22.5" customHeight="1" x14ac:dyDescent="0.3">
      <c r="A82" s="1105" t="s">
        <v>183</v>
      </c>
      <c r="B82" s="2766"/>
      <c r="C82" s="2754"/>
      <c r="D82" s="2754"/>
      <c r="E82" s="2754"/>
      <c r="F82" s="2754"/>
      <c r="G82" s="2755"/>
      <c r="H82" s="2766"/>
      <c r="I82" s="2754"/>
      <c r="J82" s="2754"/>
      <c r="K82" s="2754"/>
      <c r="L82" s="2754"/>
      <c r="M82" s="2755"/>
      <c r="N82" s="2766"/>
      <c r="O82" s="2754"/>
      <c r="P82" s="2754"/>
      <c r="Q82" s="2754"/>
      <c r="R82" s="2754"/>
      <c r="S82" s="2755"/>
      <c r="T82" s="2766"/>
      <c r="U82" s="2754"/>
      <c r="V82" s="2754"/>
      <c r="W82" s="2754"/>
      <c r="X82" s="2754"/>
      <c r="Y82" s="2755"/>
      <c r="Z82" s="2754"/>
      <c r="AA82" s="2754"/>
      <c r="AB82" s="2754"/>
      <c r="AC82" s="2754"/>
      <c r="AD82" s="2754"/>
      <c r="AE82" s="2755"/>
    </row>
    <row r="83" spans="1:31" ht="22.5" customHeight="1" thickBot="1" x14ac:dyDescent="0.3">
      <c r="A83" s="1321"/>
      <c r="B83" s="2769"/>
      <c r="C83" s="2752"/>
      <c r="D83" s="2752"/>
      <c r="E83" s="2752"/>
      <c r="F83" s="2752"/>
      <c r="G83" s="2753"/>
      <c r="H83" s="2769"/>
      <c r="I83" s="2752"/>
      <c r="J83" s="2752"/>
      <c r="K83" s="2752"/>
      <c r="L83" s="2752"/>
      <c r="M83" s="2753"/>
      <c r="N83" s="2769"/>
      <c r="O83" s="2752"/>
      <c r="P83" s="2752"/>
      <c r="Q83" s="2752"/>
      <c r="R83" s="2752"/>
      <c r="S83" s="2753"/>
      <c r="T83" s="2769"/>
      <c r="U83" s="2752"/>
      <c r="V83" s="2752"/>
      <c r="W83" s="2752"/>
      <c r="X83" s="2752"/>
      <c r="Y83" s="2753"/>
      <c r="Z83" s="2752"/>
      <c r="AA83" s="2752"/>
      <c r="AB83" s="2752"/>
      <c r="AC83" s="2752"/>
      <c r="AD83" s="2752"/>
      <c r="AE83" s="2753"/>
    </row>
    <row r="84" spans="1:31" ht="22.5" customHeight="1" x14ac:dyDescent="0.3">
      <c r="A84" s="1321" t="s">
        <v>182</v>
      </c>
      <c r="B84" s="2766"/>
      <c r="C84" s="2754"/>
      <c r="D84" s="2754"/>
      <c r="E84" s="2754"/>
      <c r="F84" s="2754"/>
      <c r="G84" s="2755"/>
      <c r="H84" s="2798"/>
      <c r="I84" s="2764"/>
      <c r="J84" s="2764"/>
      <c r="K84" s="2764"/>
      <c r="L84" s="2764"/>
      <c r="M84" s="2765"/>
      <c r="N84" s="2798"/>
      <c r="O84" s="2764"/>
      <c r="P84" s="2764"/>
      <c r="Q84" s="2764"/>
      <c r="R84" s="2764"/>
      <c r="S84" s="2765"/>
      <c r="T84" s="2798"/>
      <c r="U84" s="2764"/>
      <c r="V84" s="2764"/>
      <c r="W84" s="2764"/>
      <c r="X84" s="2764"/>
      <c r="Y84" s="2765"/>
      <c r="Z84" s="2764"/>
      <c r="AA84" s="2764"/>
      <c r="AB84" s="2764"/>
      <c r="AC84" s="2764"/>
      <c r="AD84" s="2764"/>
      <c r="AE84" s="2765"/>
    </row>
    <row r="85" spans="1:31" ht="22.5" customHeight="1" thickBot="1" x14ac:dyDescent="0.3">
      <c r="A85" s="1321"/>
      <c r="B85" s="2788"/>
      <c r="C85" s="2767"/>
      <c r="D85" s="2767"/>
      <c r="E85" s="2767"/>
      <c r="F85" s="2767"/>
      <c r="G85" s="2768"/>
      <c r="H85" s="2788"/>
      <c r="I85" s="2767"/>
      <c r="J85" s="2767"/>
      <c r="K85" s="2767"/>
      <c r="L85" s="2767"/>
      <c r="M85" s="2768"/>
      <c r="N85" s="2788"/>
      <c r="O85" s="2767"/>
      <c r="P85" s="2767"/>
      <c r="Q85" s="2767"/>
      <c r="R85" s="2767"/>
      <c r="S85" s="2768"/>
      <c r="T85" s="2788"/>
      <c r="U85" s="2767"/>
      <c r="V85" s="2767"/>
      <c r="W85" s="2767"/>
      <c r="X85" s="2767"/>
      <c r="Y85" s="2768"/>
      <c r="Z85" s="2767"/>
      <c r="AA85" s="2767"/>
      <c r="AB85" s="2767"/>
      <c r="AC85" s="2767"/>
      <c r="AD85" s="2767"/>
      <c r="AE85" s="2768"/>
    </row>
    <row r="86" spans="1:31" ht="22.5" customHeight="1" x14ac:dyDescent="0.3">
      <c r="A86" s="1100" t="s">
        <v>184</v>
      </c>
      <c r="B86" s="2774" t="s">
        <v>454</v>
      </c>
      <c r="C86" s="2775"/>
      <c r="D86" s="2775"/>
      <c r="E86" s="2775"/>
      <c r="F86" s="2775"/>
      <c r="G86" s="2776"/>
      <c r="H86" s="2781" t="s">
        <v>454</v>
      </c>
      <c r="I86" s="2782"/>
      <c r="J86" s="2782"/>
      <c r="K86" s="2782"/>
      <c r="L86" s="2782"/>
      <c r="M86" s="2783"/>
      <c r="N86" s="2754"/>
      <c r="O86" s="2754"/>
      <c r="P86" s="2754"/>
      <c r="Q86" s="2754"/>
      <c r="R86" s="2754"/>
      <c r="S86" s="2755"/>
      <c r="T86" s="2754"/>
      <c r="U86" s="2754"/>
      <c r="V86" s="2754"/>
      <c r="W86" s="2754"/>
      <c r="X86" s="2754"/>
      <c r="Y86" s="2755"/>
      <c r="Z86" s="2782" t="s">
        <v>453</v>
      </c>
      <c r="AA86" s="2782"/>
      <c r="AB86" s="2782"/>
      <c r="AC86" s="2782"/>
      <c r="AD86" s="2782"/>
      <c r="AE86" s="2783"/>
    </row>
    <row r="87" spans="1:31" ht="22.5" customHeight="1" thickBot="1" x14ac:dyDescent="0.3">
      <c r="A87" s="1105"/>
      <c r="B87" s="2777" t="s">
        <v>626</v>
      </c>
      <c r="C87" s="2777"/>
      <c r="D87" s="2777"/>
      <c r="E87" s="2777"/>
      <c r="F87" s="2777"/>
      <c r="G87" s="2778"/>
      <c r="H87" s="2784" t="s">
        <v>626</v>
      </c>
      <c r="I87" s="2785"/>
      <c r="J87" s="2785"/>
      <c r="K87" s="2785"/>
      <c r="L87" s="2785"/>
      <c r="M87" s="2786"/>
      <c r="N87" s="2752"/>
      <c r="O87" s="2752"/>
      <c r="P87" s="2752"/>
      <c r="Q87" s="2752"/>
      <c r="R87" s="2752"/>
      <c r="S87" s="2753"/>
      <c r="T87" s="2752"/>
      <c r="U87" s="2752"/>
      <c r="V87" s="2752"/>
      <c r="W87" s="2752"/>
      <c r="X87" s="2752"/>
      <c r="Y87" s="2753"/>
      <c r="Z87" s="2784" t="s">
        <v>558</v>
      </c>
      <c r="AA87" s="2785"/>
      <c r="AB87" s="2785"/>
      <c r="AC87" s="2785"/>
      <c r="AD87" s="2785"/>
      <c r="AE87" s="2786"/>
    </row>
    <row r="88" spans="1:31" ht="22.5" customHeight="1" x14ac:dyDescent="0.3">
      <c r="A88" s="1100" t="s">
        <v>185</v>
      </c>
      <c r="B88" s="2779" t="s">
        <v>454</v>
      </c>
      <c r="C88" s="2779"/>
      <c r="D88" s="2779"/>
      <c r="E88" s="2779"/>
      <c r="F88" s="2779"/>
      <c r="G88" s="2780"/>
      <c r="H88" s="2787" t="s">
        <v>454</v>
      </c>
      <c r="I88" s="2772"/>
      <c r="J88" s="2772"/>
      <c r="K88" s="2772"/>
      <c r="L88" s="2772"/>
      <c r="M88" s="2773"/>
      <c r="N88" s="2764"/>
      <c r="O88" s="2764"/>
      <c r="P88" s="2764"/>
      <c r="Q88" s="2764"/>
      <c r="R88" s="2764"/>
      <c r="S88" s="2765"/>
      <c r="T88" s="2764"/>
      <c r="U88" s="2764"/>
      <c r="V88" s="2764"/>
      <c r="W88" s="2764"/>
      <c r="X88" s="2764"/>
      <c r="Y88" s="2765"/>
      <c r="Z88" s="2772" t="s">
        <v>453</v>
      </c>
      <c r="AA88" s="2772"/>
      <c r="AB88" s="2772"/>
      <c r="AC88" s="2772"/>
      <c r="AD88" s="2772"/>
      <c r="AE88" s="2773"/>
    </row>
    <row r="89" spans="1:31" ht="22.5" customHeight="1" thickBot="1" x14ac:dyDescent="0.3">
      <c r="A89" s="1105"/>
      <c r="B89" s="2777" t="s">
        <v>626</v>
      </c>
      <c r="C89" s="2777"/>
      <c r="D89" s="2777"/>
      <c r="E89" s="2777"/>
      <c r="F89" s="2777"/>
      <c r="G89" s="2778"/>
      <c r="H89" s="2784" t="s">
        <v>626</v>
      </c>
      <c r="I89" s="2785"/>
      <c r="J89" s="2785"/>
      <c r="K89" s="2785"/>
      <c r="L89" s="2785"/>
      <c r="M89" s="2786"/>
      <c r="N89" s="2767"/>
      <c r="O89" s="2767"/>
      <c r="P89" s="2767"/>
      <c r="Q89" s="2767"/>
      <c r="R89" s="2767"/>
      <c r="S89" s="2768"/>
      <c r="T89" s="2767"/>
      <c r="U89" s="2767"/>
      <c r="V89" s="2767"/>
      <c r="W89" s="2767"/>
      <c r="X89" s="2767"/>
      <c r="Y89" s="2768"/>
      <c r="Z89" s="2784" t="s">
        <v>558</v>
      </c>
      <c r="AA89" s="2785"/>
      <c r="AB89" s="2785"/>
      <c r="AC89" s="2785"/>
      <c r="AD89" s="2785"/>
      <c r="AE89" s="2786"/>
    </row>
    <row r="90" spans="1:31" ht="22.5" customHeight="1" x14ac:dyDescent="0.3">
      <c r="A90" s="1105" t="s">
        <v>186</v>
      </c>
      <c r="B90" s="2781" t="s">
        <v>527</v>
      </c>
      <c r="C90" s="2782"/>
      <c r="D90" s="2782"/>
      <c r="E90" s="2782"/>
      <c r="F90" s="2782"/>
      <c r="G90" s="2783"/>
      <c r="H90" s="2774" t="s">
        <v>453</v>
      </c>
      <c r="I90" s="2775"/>
      <c r="J90" s="2775"/>
      <c r="K90" s="2775"/>
      <c r="L90" s="2775"/>
      <c r="M90" s="2776"/>
      <c r="N90" s="2789"/>
      <c r="O90" s="2789"/>
      <c r="P90" s="2789"/>
      <c r="Q90" s="2789"/>
      <c r="R90" s="2789"/>
      <c r="S90" s="2790"/>
      <c r="T90" s="2775" t="s">
        <v>527</v>
      </c>
      <c r="U90" s="2775"/>
      <c r="V90" s="2775"/>
      <c r="W90" s="2775"/>
      <c r="X90" s="2775"/>
      <c r="Y90" s="2776"/>
      <c r="Z90" s="2756"/>
      <c r="AA90" s="2756"/>
      <c r="AB90" s="2756"/>
      <c r="AC90" s="2756"/>
      <c r="AD90" s="2756"/>
      <c r="AE90" s="2757"/>
    </row>
    <row r="91" spans="1:31" ht="22.5" customHeight="1" thickBot="1" x14ac:dyDescent="0.3">
      <c r="A91" s="1321"/>
      <c r="B91" s="2784" t="s">
        <v>152</v>
      </c>
      <c r="C91" s="2785"/>
      <c r="D91" s="2785"/>
      <c r="E91" s="2785"/>
      <c r="F91" s="2785"/>
      <c r="G91" s="2786"/>
      <c r="H91" s="2794" t="s">
        <v>557</v>
      </c>
      <c r="I91" s="2777"/>
      <c r="J91" s="2777"/>
      <c r="K91" s="2777"/>
      <c r="L91" s="2777"/>
      <c r="M91" s="2778"/>
      <c r="N91" s="2752"/>
      <c r="O91" s="2752"/>
      <c r="P91" s="2752"/>
      <c r="Q91" s="2752"/>
      <c r="R91" s="2752"/>
      <c r="S91" s="2753"/>
      <c r="T91" s="2777" t="s">
        <v>558</v>
      </c>
      <c r="U91" s="2777"/>
      <c r="V91" s="2777"/>
      <c r="W91" s="2777"/>
      <c r="X91" s="2777"/>
      <c r="Y91" s="2778"/>
      <c r="Z91" s="2750"/>
      <c r="AA91" s="2750"/>
      <c r="AB91" s="2750"/>
      <c r="AC91" s="2750"/>
      <c r="AD91" s="2750"/>
      <c r="AE91" s="2751"/>
    </row>
    <row r="92" spans="1:31" ht="22.5" customHeight="1" x14ac:dyDescent="0.3">
      <c r="A92" s="1105" t="s">
        <v>187</v>
      </c>
      <c r="B92" s="2787" t="s">
        <v>527</v>
      </c>
      <c r="C92" s="2772"/>
      <c r="D92" s="2772"/>
      <c r="E92" s="2772"/>
      <c r="F92" s="2772"/>
      <c r="G92" s="2773"/>
      <c r="H92" s="2793" t="s">
        <v>453</v>
      </c>
      <c r="I92" s="2779"/>
      <c r="J92" s="2779"/>
      <c r="K92" s="2779"/>
      <c r="L92" s="2779"/>
      <c r="M92" s="2780"/>
      <c r="N92" s="2791"/>
      <c r="O92" s="2791"/>
      <c r="P92" s="2791"/>
      <c r="Q92" s="2791"/>
      <c r="R92" s="2791"/>
      <c r="S92" s="2792"/>
      <c r="T92" s="2779" t="s">
        <v>527</v>
      </c>
      <c r="U92" s="2779"/>
      <c r="V92" s="2779"/>
      <c r="W92" s="2779"/>
      <c r="X92" s="2779"/>
      <c r="Y92" s="2780"/>
      <c r="Z92" s="2762"/>
      <c r="AA92" s="2762"/>
      <c r="AB92" s="2762"/>
      <c r="AC92" s="2762"/>
      <c r="AD92" s="2762"/>
      <c r="AE92" s="2763"/>
    </row>
    <row r="93" spans="1:31" ht="22.5" customHeight="1" thickBot="1" x14ac:dyDescent="0.3">
      <c r="A93" s="1338"/>
      <c r="B93" s="2784" t="s">
        <v>152</v>
      </c>
      <c r="C93" s="2785"/>
      <c r="D93" s="2785"/>
      <c r="E93" s="2785"/>
      <c r="F93" s="2785"/>
      <c r="G93" s="2786"/>
      <c r="H93" s="2794" t="s">
        <v>557</v>
      </c>
      <c r="I93" s="2777"/>
      <c r="J93" s="2777"/>
      <c r="K93" s="2777"/>
      <c r="L93" s="2777"/>
      <c r="M93" s="2778"/>
      <c r="N93" s="2752"/>
      <c r="O93" s="2752"/>
      <c r="P93" s="2752"/>
      <c r="Q93" s="2752"/>
      <c r="R93" s="2752"/>
      <c r="S93" s="2753"/>
      <c r="T93" s="2777" t="s">
        <v>558</v>
      </c>
      <c r="U93" s="2777"/>
      <c r="V93" s="2777"/>
      <c r="W93" s="2777"/>
      <c r="X93" s="2777"/>
      <c r="Y93" s="2778"/>
      <c r="Z93" s="2750"/>
      <c r="AA93" s="2750"/>
      <c r="AB93" s="2750"/>
      <c r="AC93" s="2750"/>
      <c r="AD93" s="2750"/>
      <c r="AE93" s="2751"/>
    </row>
    <row r="94" spans="1:31" ht="21" customHeight="1" x14ac:dyDescent="0.25"/>
    <row r="95" spans="1:31" ht="18.75" customHeight="1" thickBot="1" x14ac:dyDescent="0.3"/>
    <row r="96" spans="1:31" ht="18.75" customHeight="1" thickBot="1" x14ac:dyDescent="0.3">
      <c r="A96" s="1033" t="s">
        <v>214</v>
      </c>
      <c r="B96" s="935"/>
      <c r="C96" s="934" t="s">
        <v>215</v>
      </c>
      <c r="D96" s="934"/>
      <c r="E96" s="934"/>
      <c r="F96" s="934"/>
      <c r="G96" s="934"/>
      <c r="H96" s="934"/>
      <c r="I96" s="934"/>
      <c r="J96" s="934"/>
      <c r="K96" s="934"/>
      <c r="L96" s="58"/>
      <c r="M96" s="1034" t="s">
        <v>329</v>
      </c>
      <c r="N96" s="1035"/>
      <c r="O96" s="934" t="s">
        <v>139</v>
      </c>
      <c r="P96" s="935"/>
      <c r="Q96" s="934" t="s">
        <v>163</v>
      </c>
      <c r="R96" s="934"/>
      <c r="S96" s="934"/>
      <c r="T96" s="934"/>
      <c r="U96" s="934"/>
      <c r="V96" s="934"/>
      <c r="W96" s="934"/>
      <c r="X96" s="934"/>
      <c r="Y96" s="934"/>
      <c r="Z96" s="934"/>
      <c r="AA96" s="934"/>
      <c r="AB96" s="934"/>
      <c r="AC96" s="934"/>
      <c r="AD96" s="934"/>
      <c r="AE96" s="935"/>
    </row>
    <row r="97" spans="1:31" ht="13.8" x14ac:dyDescent="0.25">
      <c r="A97" s="1036" t="e">
        <f>VLOOKUP(M97,ASIGNATURAS!$F$1:$L$1022, 3, FALSE)</f>
        <v>#N/A</v>
      </c>
      <c r="B97" s="1037"/>
      <c r="C97" s="1056" t="e">
        <f>VLOOKUP(M97,ASIGNATURAS!$F$1:$L$1022, 4, FALSE)</f>
        <v>#N/A</v>
      </c>
      <c r="D97" s="1057"/>
      <c r="E97" s="1057"/>
      <c r="F97" s="1057"/>
      <c r="G97" s="1057"/>
      <c r="H97" s="1057"/>
      <c r="I97" s="1057"/>
      <c r="J97" s="1057"/>
      <c r="K97" s="1057"/>
      <c r="L97" s="1058"/>
      <c r="M97" s="1028">
        <v>7069</v>
      </c>
      <c r="N97" s="1029"/>
      <c r="O97" s="1028" t="e">
        <f>VLOOKUP(M97,ASIGNATURAS!$F$1:$L$1022, 5, FALSE)</f>
        <v>#N/A</v>
      </c>
      <c r="P97" s="1029"/>
      <c r="Q97" s="1056" t="e">
        <f>VLOOKUP(M97,ASIGNATURAS!$F$1:$L$1022, 6, FALSE)</f>
        <v>#N/A</v>
      </c>
      <c r="R97" s="1057"/>
      <c r="S97" s="1057"/>
      <c r="T97" s="1057"/>
      <c r="U97" s="1057"/>
      <c r="V97" s="1057"/>
      <c r="W97" s="1057"/>
      <c r="X97" s="1057"/>
      <c r="Y97" s="1057"/>
      <c r="Z97" s="1057"/>
      <c r="AA97" s="1057"/>
      <c r="AB97" s="1057"/>
      <c r="AC97" s="1057"/>
      <c r="AD97" s="1057"/>
      <c r="AE97" s="1058"/>
    </row>
    <row r="98" spans="1:31" ht="13.8" x14ac:dyDescent="0.25">
      <c r="A98" s="1188" t="e">
        <f>VLOOKUP(M98,ASIGNATURAS!$F$1:$L$1022, 3, FALSE)</f>
        <v>#N/A</v>
      </c>
      <c r="B98" s="1189"/>
      <c r="C98" s="981" t="e">
        <f>VLOOKUP(M98,ASIGNATURAS!$F$1:$L$1022, 4, FALSE)</f>
        <v>#N/A</v>
      </c>
      <c r="D98" s="982"/>
      <c r="E98" s="982"/>
      <c r="F98" s="982"/>
      <c r="G98" s="982"/>
      <c r="H98" s="982"/>
      <c r="I98" s="982"/>
      <c r="J98" s="982"/>
      <c r="K98" s="982"/>
      <c r="L98" s="983"/>
      <c r="M98" s="936">
        <v>7070</v>
      </c>
      <c r="N98" s="937"/>
      <c r="O98" s="936" t="e">
        <f>VLOOKUP(M98,ASIGNATURAS!$F$1:$L$1022, 5, FALSE)</f>
        <v>#N/A</v>
      </c>
      <c r="P98" s="937"/>
      <c r="Q98" s="981" t="e">
        <f>VLOOKUP(M98,ASIGNATURAS!$F$1:$L$1022, 6, FALSE)</f>
        <v>#N/A</v>
      </c>
      <c r="R98" s="982"/>
      <c r="S98" s="982"/>
      <c r="T98" s="982"/>
      <c r="U98" s="982"/>
      <c r="V98" s="982"/>
      <c r="W98" s="982"/>
      <c r="X98" s="982"/>
      <c r="Y98" s="982"/>
      <c r="Z98" s="982"/>
      <c r="AA98" s="982"/>
      <c r="AB98" s="982"/>
      <c r="AC98" s="982"/>
      <c r="AD98" s="982"/>
      <c r="AE98" s="983"/>
    </row>
    <row r="99" spans="1:31" ht="13.8" x14ac:dyDescent="0.25">
      <c r="A99" s="1188" t="e">
        <f>VLOOKUP(M99,ASIGNATURAS!$F$1:$L$1022, 3, FALSE)</f>
        <v>#N/A</v>
      </c>
      <c r="B99" s="1189"/>
      <c r="C99" s="981" t="e">
        <f>VLOOKUP(M99,ASIGNATURAS!$F$1:$L$1022, 4, FALSE)</f>
        <v>#N/A</v>
      </c>
      <c r="D99" s="982"/>
      <c r="E99" s="982"/>
      <c r="F99" s="982"/>
      <c r="G99" s="982"/>
      <c r="H99" s="982"/>
      <c r="I99" s="982"/>
      <c r="J99" s="982"/>
      <c r="K99" s="982"/>
      <c r="L99" s="983"/>
      <c r="M99" s="936">
        <v>7071</v>
      </c>
      <c r="N99" s="937"/>
      <c r="O99" s="936" t="e">
        <f>VLOOKUP(M99,ASIGNATURAS!$F$1:$L$1022, 5, FALSE)</f>
        <v>#N/A</v>
      </c>
      <c r="P99" s="937"/>
      <c r="Q99" s="981" t="e">
        <f>VLOOKUP(M99,ASIGNATURAS!$F$1:$L$1022, 6, FALSE)</f>
        <v>#N/A</v>
      </c>
      <c r="R99" s="982"/>
      <c r="S99" s="982"/>
      <c r="T99" s="982"/>
      <c r="U99" s="982"/>
      <c r="V99" s="982"/>
      <c r="W99" s="982"/>
      <c r="X99" s="982"/>
      <c r="Y99" s="982"/>
      <c r="Z99" s="982"/>
      <c r="AA99" s="982"/>
      <c r="AB99" s="982"/>
      <c r="AC99" s="982"/>
      <c r="AD99" s="982"/>
      <c r="AE99" s="983"/>
    </row>
    <row r="100" spans="1:31" ht="13.8" x14ac:dyDescent="0.25">
      <c r="A100" s="1188" t="e">
        <f>VLOOKUP(M100,ASIGNATURAS!$F$1:$L$1022, 3, FALSE)</f>
        <v>#N/A</v>
      </c>
      <c r="B100" s="1189"/>
      <c r="C100" s="981" t="e">
        <f>VLOOKUP(M100,ASIGNATURAS!$F$1:$L$1022, 4, FALSE)</f>
        <v>#N/A</v>
      </c>
      <c r="D100" s="982"/>
      <c r="E100" s="982"/>
      <c r="F100" s="982"/>
      <c r="G100" s="982"/>
      <c r="H100" s="982"/>
      <c r="I100" s="982"/>
      <c r="J100" s="982"/>
      <c r="K100" s="982"/>
      <c r="L100" s="983"/>
      <c r="M100" s="936">
        <v>7072</v>
      </c>
      <c r="N100" s="937"/>
      <c r="O100" s="936" t="e">
        <f>VLOOKUP(M100,ASIGNATURAS!$F$1:$L$1022, 5, FALSE)</f>
        <v>#N/A</v>
      </c>
      <c r="P100" s="937"/>
      <c r="Q100" s="981" t="e">
        <f>VLOOKUP(M100,ASIGNATURAS!$F$1:$L$1022, 6, FALSE)</f>
        <v>#N/A</v>
      </c>
      <c r="R100" s="982"/>
      <c r="S100" s="982"/>
      <c r="T100" s="982"/>
      <c r="U100" s="982"/>
      <c r="V100" s="982"/>
      <c r="W100" s="982"/>
      <c r="X100" s="982"/>
      <c r="Y100" s="982"/>
      <c r="Z100" s="982"/>
      <c r="AA100" s="982"/>
      <c r="AB100" s="982"/>
      <c r="AC100" s="982"/>
      <c r="AD100" s="982"/>
      <c r="AE100" s="983"/>
    </row>
    <row r="101" spans="1:31" ht="14.25" customHeight="1" x14ac:dyDescent="0.25">
      <c r="A101" s="1188" t="e">
        <f>VLOOKUP(M101,ASIGNATURAS!$F$1:$L$1022, 3, FALSE)</f>
        <v>#N/A</v>
      </c>
      <c r="B101" s="1189"/>
      <c r="C101" s="981" t="e">
        <f>VLOOKUP(M101,ASIGNATURAS!$F$1:$L$1022, 4, FALSE)</f>
        <v>#N/A</v>
      </c>
      <c r="D101" s="982"/>
      <c r="E101" s="982"/>
      <c r="F101" s="982"/>
      <c r="G101" s="982"/>
      <c r="H101" s="982"/>
      <c r="I101" s="982"/>
      <c r="J101" s="982"/>
      <c r="K101" s="982"/>
      <c r="L101" s="983"/>
      <c r="M101" s="936">
        <v>7073</v>
      </c>
      <c r="N101" s="937"/>
      <c r="O101" s="936" t="e">
        <f>VLOOKUP(M101,ASIGNATURAS!$F$1:$L$1022, 5, FALSE)</f>
        <v>#N/A</v>
      </c>
      <c r="P101" s="937"/>
      <c r="Q101" s="981" t="e">
        <f>VLOOKUP(M101,ASIGNATURAS!$F$1:$L$1022, 6, FALSE)</f>
        <v>#N/A</v>
      </c>
      <c r="R101" s="982"/>
      <c r="S101" s="982"/>
      <c r="T101" s="982"/>
      <c r="U101" s="982"/>
      <c r="V101" s="982"/>
      <c r="W101" s="982"/>
      <c r="X101" s="982"/>
      <c r="Y101" s="982"/>
      <c r="Z101" s="982"/>
      <c r="AA101" s="982"/>
      <c r="AB101" s="982"/>
      <c r="AC101" s="982"/>
      <c r="AD101" s="982"/>
      <c r="AE101" s="983"/>
    </row>
    <row r="102" spans="1:31" ht="13.8" x14ac:dyDescent="0.25">
      <c r="A102" s="1188" t="e">
        <f>VLOOKUP(M102,ASIGNATURAS!$F$1:$L$1022, 3, FALSE)</f>
        <v>#N/A</v>
      </c>
      <c r="B102" s="1189"/>
      <c r="C102" s="981" t="e">
        <f>VLOOKUP(M102,ASIGNATURAS!$F$1:$L$1022, 4, FALSE)</f>
        <v>#N/A</v>
      </c>
      <c r="D102" s="982"/>
      <c r="E102" s="982"/>
      <c r="F102" s="982"/>
      <c r="G102" s="982"/>
      <c r="H102" s="982"/>
      <c r="I102" s="982"/>
      <c r="J102" s="982"/>
      <c r="K102" s="982"/>
      <c r="L102" s="983"/>
      <c r="M102" s="936">
        <v>7074</v>
      </c>
      <c r="N102" s="937"/>
      <c r="O102" s="936" t="e">
        <f>VLOOKUP(M102,ASIGNATURAS!$F$1:$L$1022, 5, FALSE)</f>
        <v>#N/A</v>
      </c>
      <c r="P102" s="937"/>
      <c r="Q102" s="981" t="e">
        <f>VLOOKUP(M102,ASIGNATURAS!$F$1:$L$1022, 6, FALSE)</f>
        <v>#N/A</v>
      </c>
      <c r="R102" s="982"/>
      <c r="S102" s="982"/>
      <c r="T102" s="982"/>
      <c r="U102" s="982"/>
      <c r="V102" s="982"/>
      <c r="W102" s="982"/>
      <c r="X102" s="982"/>
      <c r="Y102" s="982"/>
      <c r="Z102" s="982"/>
      <c r="AA102" s="982"/>
      <c r="AB102" s="982"/>
      <c r="AC102" s="982"/>
      <c r="AD102" s="982"/>
      <c r="AE102" s="983"/>
    </row>
    <row r="103" spans="1:31" ht="13.8" x14ac:dyDescent="0.25">
      <c r="A103" s="1188" t="e">
        <f>VLOOKUP(M103,ASIGNATURAS!$F$1:$L$1022, 3, FALSE)</f>
        <v>#N/A</v>
      </c>
      <c r="B103" s="1189"/>
      <c r="C103" s="981" t="e">
        <f>VLOOKUP(M103,ASIGNATURAS!$F$1:$L$1022, 4, FALSE)</f>
        <v>#N/A</v>
      </c>
      <c r="D103" s="982"/>
      <c r="E103" s="982"/>
      <c r="F103" s="982"/>
      <c r="G103" s="982"/>
      <c r="H103" s="982"/>
      <c r="I103" s="982"/>
      <c r="J103" s="982"/>
      <c r="K103" s="982"/>
      <c r="L103" s="983"/>
      <c r="M103" s="936">
        <v>7075</v>
      </c>
      <c r="N103" s="937"/>
      <c r="O103" s="936" t="e">
        <f>VLOOKUP(M103,ASIGNATURAS!$F$1:$L$1022, 5, FALSE)</f>
        <v>#N/A</v>
      </c>
      <c r="P103" s="937"/>
      <c r="Q103" s="981" t="e">
        <f>VLOOKUP(M103,ASIGNATURAS!$F$1:$L$1022, 6, FALSE)</f>
        <v>#N/A</v>
      </c>
      <c r="R103" s="982"/>
      <c r="S103" s="982"/>
      <c r="T103" s="982"/>
      <c r="U103" s="982"/>
      <c r="V103" s="982"/>
      <c r="W103" s="982"/>
      <c r="X103" s="982"/>
      <c r="Y103" s="982"/>
      <c r="Z103" s="982"/>
      <c r="AA103" s="982"/>
      <c r="AB103" s="982"/>
      <c r="AC103" s="982"/>
      <c r="AD103" s="982"/>
      <c r="AE103" s="983"/>
    </row>
    <row r="104" spans="1:31" ht="14.4" thickBot="1" x14ac:dyDescent="0.3">
      <c r="A104" s="1201" t="e">
        <f>VLOOKUP(M104,ASIGNATURAS!$F$1:$L$1022, 3, FALSE)</f>
        <v>#N/A</v>
      </c>
      <c r="B104" s="1372"/>
      <c r="C104" s="1022" t="e">
        <f>VLOOKUP(M104,ASIGNATURAS!$F$1:$L$1022, 4, FALSE)</f>
        <v>#N/A</v>
      </c>
      <c r="D104" s="1023"/>
      <c r="E104" s="1023"/>
      <c r="F104" s="1023"/>
      <c r="G104" s="1023"/>
      <c r="H104" s="1023"/>
      <c r="I104" s="1023"/>
      <c r="J104" s="1023"/>
      <c r="K104" s="1023"/>
      <c r="L104" s="1024"/>
      <c r="M104" s="1295">
        <v>7076</v>
      </c>
      <c r="N104" s="1296"/>
      <c r="O104" s="1295" t="e">
        <f>VLOOKUP(M104,ASIGNATURAS!$F$1:$L$1022, 5, FALSE)</f>
        <v>#N/A</v>
      </c>
      <c r="P104" s="1296"/>
      <c r="Q104" s="1022" t="e">
        <f>VLOOKUP(M104,ASIGNATURAS!$F$1:$L$1022, 6, FALSE)</f>
        <v>#N/A</v>
      </c>
      <c r="R104" s="1023"/>
      <c r="S104" s="1023"/>
      <c r="T104" s="1023"/>
      <c r="U104" s="1023"/>
      <c r="V104" s="1023"/>
      <c r="W104" s="1023"/>
      <c r="X104" s="1023"/>
      <c r="Y104" s="1023"/>
      <c r="Z104" s="1023"/>
      <c r="AA104" s="1023"/>
      <c r="AB104" s="1023"/>
      <c r="AC104" s="1023"/>
      <c r="AD104" s="1023"/>
      <c r="AE104" s="1024"/>
    </row>
    <row r="105" spans="1:31" ht="13.8" thickBot="1" x14ac:dyDescent="0.3">
      <c r="A105" s="67"/>
      <c r="B105" s="67"/>
    </row>
    <row r="106" spans="1:31" ht="22.5" customHeight="1" thickBot="1" x14ac:dyDescent="0.3">
      <c r="A106" s="1677" t="s">
        <v>165</v>
      </c>
      <c r="B106" s="1678"/>
      <c r="C106" s="1678"/>
      <c r="D106" s="1679"/>
      <c r="F106" s="2795" t="s">
        <v>166</v>
      </c>
      <c r="G106" s="2796"/>
      <c r="H106" s="2796"/>
      <c r="I106" s="2796"/>
      <c r="J106" s="2796"/>
      <c r="K106" s="2796"/>
      <c r="L106" s="2796"/>
      <c r="M106" s="2797"/>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02" t="str">
        <f>VLOOKUP(A4,ASIGNATURAS!$A$2:$D$138, 3, FALSE)</f>
        <v>1º Máster en Ingeniería Industrial</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3" s="8" customFormat="1" ht="23.25" customHeight="1" x14ac:dyDescent="0.4">
      <c r="A2" s="2264" t="str">
        <f>VLOOKUP(A4,ASIGNATURAS!A2:D138, 2, FALSE)</f>
        <v>Semestre temporal: 1º        (1º Semestre Académico)</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279" t="s">
        <v>150</v>
      </c>
      <c r="AA2" s="2279"/>
      <c r="AB2" s="2279"/>
      <c r="AC2" s="2279"/>
      <c r="AD2" s="2279"/>
      <c r="AE2" s="2280"/>
    </row>
    <row r="3" spans="1:33"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3" ht="38.25" customHeight="1" x14ac:dyDescent="0.25">
      <c r="A4" s="23" t="s">
        <v>117</v>
      </c>
    </row>
    <row r="5" spans="1:33"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3" ht="30" customHeight="1" x14ac:dyDescent="0.3">
      <c r="A6" s="1375" t="s">
        <v>1091</v>
      </c>
      <c r="B6" s="2800"/>
      <c r="C6" s="1154"/>
      <c r="D6" s="1154"/>
      <c r="E6" s="1154"/>
      <c r="F6" s="1154"/>
      <c r="G6" s="1155"/>
      <c r="H6" s="2800"/>
      <c r="I6" s="1154"/>
      <c r="J6" s="1154"/>
      <c r="K6" s="1154"/>
      <c r="L6" s="1154"/>
      <c r="M6" s="1155"/>
      <c r="N6" s="2800"/>
      <c r="O6" s="1154"/>
      <c r="P6" s="1154"/>
      <c r="Q6" s="1154"/>
      <c r="R6" s="1154"/>
      <c r="S6" s="1155"/>
      <c r="T6" s="2800"/>
      <c r="U6" s="1154"/>
      <c r="V6" s="1154"/>
      <c r="W6" s="1154"/>
      <c r="X6" s="1154"/>
      <c r="Y6" s="1155"/>
      <c r="Z6" s="2800"/>
      <c r="AA6" s="1154"/>
      <c r="AB6" s="1154"/>
      <c r="AC6" s="1154"/>
      <c r="AD6" s="1154"/>
      <c r="AE6" s="1155"/>
    </row>
    <row r="7" spans="1:33" ht="30" customHeight="1" x14ac:dyDescent="0.25">
      <c r="A7" s="1105"/>
      <c r="B7" s="2276"/>
      <c r="C7" s="1107"/>
      <c r="D7" s="1107"/>
      <c r="E7" s="1107"/>
      <c r="F7" s="1107"/>
      <c r="G7" s="1108"/>
      <c r="H7" s="2276"/>
      <c r="I7" s="1107"/>
      <c r="J7" s="1107"/>
      <c r="K7" s="1107"/>
      <c r="L7" s="1107"/>
      <c r="M7" s="1108"/>
      <c r="N7" s="2276"/>
      <c r="O7" s="1107"/>
      <c r="P7" s="1107"/>
      <c r="Q7" s="1107"/>
      <c r="R7" s="1107"/>
      <c r="S7" s="1108"/>
      <c r="T7" s="2276"/>
      <c r="U7" s="1107"/>
      <c r="V7" s="1107"/>
      <c r="W7" s="1107"/>
      <c r="X7" s="1107"/>
      <c r="Y7" s="1108"/>
      <c r="Z7" s="2276"/>
      <c r="AA7" s="1107"/>
      <c r="AB7" s="1107"/>
      <c r="AC7" s="1107"/>
      <c r="AD7" s="1107"/>
      <c r="AE7" s="1108"/>
    </row>
    <row r="8" spans="1:33" ht="30" customHeight="1" x14ac:dyDescent="0.3">
      <c r="A8" s="1100" t="s">
        <v>183</v>
      </c>
      <c r="B8" s="2800"/>
      <c r="C8" s="1154"/>
      <c r="D8" s="1154"/>
      <c r="E8" s="1154"/>
      <c r="F8" s="1154"/>
      <c r="G8" s="1155"/>
      <c r="H8" s="2800"/>
      <c r="I8" s="1154"/>
      <c r="J8" s="1154"/>
      <c r="K8" s="1154"/>
      <c r="L8" s="1154"/>
      <c r="M8" s="1155"/>
      <c r="N8" s="2800"/>
      <c r="O8" s="1154"/>
      <c r="P8" s="1154"/>
      <c r="Q8" s="1154"/>
      <c r="R8" s="1154"/>
      <c r="S8" s="1155"/>
      <c r="T8" s="2800"/>
      <c r="U8" s="1154"/>
      <c r="V8" s="1154"/>
      <c r="W8" s="1154"/>
      <c r="X8" s="1154"/>
      <c r="Y8" s="1155"/>
      <c r="Z8" s="2800"/>
      <c r="AA8" s="1154"/>
      <c r="AB8" s="1154"/>
      <c r="AC8" s="1154"/>
      <c r="AD8" s="1154"/>
      <c r="AE8" s="1155"/>
    </row>
    <row r="9" spans="1:33" ht="30" customHeight="1" x14ac:dyDescent="0.25">
      <c r="A9" s="1105"/>
      <c r="B9" s="2276"/>
      <c r="C9" s="1107"/>
      <c r="D9" s="1107"/>
      <c r="E9" s="1107"/>
      <c r="F9" s="1107"/>
      <c r="G9" s="1108"/>
      <c r="H9" s="2276"/>
      <c r="I9" s="1107"/>
      <c r="J9" s="1107"/>
      <c r="K9" s="1107"/>
      <c r="L9" s="1107"/>
      <c r="M9" s="1108"/>
      <c r="N9" s="2276"/>
      <c r="O9" s="1107"/>
      <c r="P9" s="1107"/>
      <c r="Q9" s="1107"/>
      <c r="R9" s="1107"/>
      <c r="S9" s="1108"/>
      <c r="T9" s="2276"/>
      <c r="U9" s="1107"/>
      <c r="V9" s="1107"/>
      <c r="W9" s="1107"/>
      <c r="X9" s="1107"/>
      <c r="Y9" s="1108"/>
      <c r="Z9" s="2276"/>
      <c r="AA9" s="1107"/>
      <c r="AB9" s="1107"/>
      <c r="AC9" s="1107"/>
      <c r="AD9" s="1107"/>
      <c r="AE9" s="1108"/>
    </row>
    <row r="10" spans="1:33" ht="30" customHeight="1" x14ac:dyDescent="0.3">
      <c r="A10" s="1321" t="s">
        <v>182</v>
      </c>
      <c r="B10" s="2263" t="s">
        <v>133</v>
      </c>
      <c r="C10" s="957"/>
      <c r="D10" s="957"/>
      <c r="E10" s="957"/>
      <c r="F10" s="957"/>
      <c r="G10" s="1146"/>
      <c r="H10" s="2263" t="s">
        <v>123</v>
      </c>
      <c r="I10" s="957"/>
      <c r="J10" s="957"/>
      <c r="K10" s="957"/>
      <c r="L10" s="957"/>
      <c r="M10" s="1146"/>
      <c r="N10" s="2263" t="s">
        <v>931</v>
      </c>
      <c r="O10" s="957"/>
      <c r="P10" s="957"/>
      <c r="Q10" s="957"/>
      <c r="R10" s="957"/>
      <c r="S10" s="1146"/>
      <c r="T10" s="2263" t="s">
        <v>933</v>
      </c>
      <c r="U10" s="957"/>
      <c r="V10" s="957"/>
      <c r="W10" s="957"/>
      <c r="X10" s="957"/>
      <c r="Y10" s="1146"/>
      <c r="Z10" s="2263" t="s">
        <v>120</v>
      </c>
      <c r="AA10" s="957"/>
      <c r="AB10" s="957"/>
      <c r="AC10" s="957"/>
      <c r="AD10" s="957"/>
      <c r="AE10" s="1146"/>
      <c r="AG10" s="20"/>
    </row>
    <row r="11" spans="1:33" ht="30" customHeight="1" x14ac:dyDescent="0.25">
      <c r="A11" s="1321"/>
      <c r="B11" s="2260" t="s">
        <v>619</v>
      </c>
      <c r="C11" s="952"/>
      <c r="D11" s="952"/>
      <c r="E11" s="952"/>
      <c r="F11" s="952"/>
      <c r="G11" s="1047"/>
      <c r="H11" s="2260" t="s">
        <v>150</v>
      </c>
      <c r="I11" s="952"/>
      <c r="J11" s="952"/>
      <c r="K11" s="952"/>
      <c r="L11" s="952"/>
      <c r="M11" s="1047"/>
      <c r="N11" s="2260" t="s">
        <v>150</v>
      </c>
      <c r="O11" s="952"/>
      <c r="P11" s="952"/>
      <c r="Q11" s="952"/>
      <c r="R11" s="952"/>
      <c r="S11" s="1047"/>
      <c r="T11" s="2260" t="s">
        <v>150</v>
      </c>
      <c r="U11" s="952"/>
      <c r="V11" s="952"/>
      <c r="W11" s="952"/>
      <c r="X11" s="952"/>
      <c r="Y11" s="1047"/>
      <c r="Z11" s="2260" t="s">
        <v>150</v>
      </c>
      <c r="AA11" s="952"/>
      <c r="AB11" s="952"/>
      <c r="AC11" s="952"/>
      <c r="AD11" s="952"/>
      <c r="AE11" s="1047"/>
    </row>
    <row r="12" spans="1:33" ht="30" customHeight="1" x14ac:dyDescent="0.3">
      <c r="A12" s="1105" t="s">
        <v>184</v>
      </c>
      <c r="B12" s="2263" t="s">
        <v>133</v>
      </c>
      <c r="C12" s="957"/>
      <c r="D12" s="957"/>
      <c r="E12" s="957"/>
      <c r="F12" s="957"/>
      <c r="G12" s="1146"/>
      <c r="H12" s="2263" t="s">
        <v>123</v>
      </c>
      <c r="I12" s="957"/>
      <c r="J12" s="957"/>
      <c r="K12" s="957"/>
      <c r="L12" s="957"/>
      <c r="M12" s="1146"/>
      <c r="N12" s="1147" t="s">
        <v>931</v>
      </c>
      <c r="O12" s="987"/>
      <c r="P12" s="987"/>
      <c r="Q12" s="987"/>
      <c r="R12" s="987"/>
      <c r="S12" s="2257"/>
      <c r="T12" s="2263" t="s">
        <v>933</v>
      </c>
      <c r="U12" s="957"/>
      <c r="V12" s="957"/>
      <c r="W12" s="957"/>
      <c r="X12" s="957"/>
      <c r="Y12" s="1146"/>
      <c r="Z12" s="1147" t="s">
        <v>120</v>
      </c>
      <c r="AA12" s="987"/>
      <c r="AB12" s="987"/>
      <c r="AC12" s="987"/>
      <c r="AD12" s="987"/>
      <c r="AE12" s="2257"/>
    </row>
    <row r="13" spans="1:33" ht="30" customHeight="1" x14ac:dyDescent="0.25">
      <c r="A13" s="1321"/>
      <c r="B13" s="2260" t="s">
        <v>619</v>
      </c>
      <c r="C13" s="952"/>
      <c r="D13" s="952"/>
      <c r="E13" s="952"/>
      <c r="F13" s="952"/>
      <c r="G13" s="1047"/>
      <c r="H13" s="2260" t="s">
        <v>150</v>
      </c>
      <c r="I13" s="952"/>
      <c r="J13" s="952"/>
      <c r="K13" s="952"/>
      <c r="L13" s="952"/>
      <c r="M13" s="1047"/>
      <c r="N13" s="1109" t="s">
        <v>150</v>
      </c>
      <c r="O13" s="1073"/>
      <c r="P13" s="1073"/>
      <c r="Q13" s="1073"/>
      <c r="R13" s="1073"/>
      <c r="S13" s="2250"/>
      <c r="T13" s="2260" t="s">
        <v>150</v>
      </c>
      <c r="U13" s="952"/>
      <c r="V13" s="952"/>
      <c r="W13" s="952"/>
      <c r="X13" s="952"/>
      <c r="Y13" s="1047"/>
      <c r="Z13" s="1109" t="s">
        <v>150</v>
      </c>
      <c r="AA13" s="1073"/>
      <c r="AB13" s="1073"/>
      <c r="AC13" s="1073"/>
      <c r="AD13" s="1073"/>
      <c r="AE13" s="2250"/>
    </row>
    <row r="14" spans="1:33" ht="30" customHeight="1" x14ac:dyDescent="0.3">
      <c r="A14" s="1105" t="s">
        <v>185</v>
      </c>
      <c r="B14" s="1147" t="s">
        <v>123</v>
      </c>
      <c r="C14" s="987"/>
      <c r="D14" s="987"/>
      <c r="E14" s="987"/>
      <c r="F14" s="987"/>
      <c r="G14" s="2257"/>
      <c r="H14" s="1147" t="s">
        <v>933</v>
      </c>
      <c r="I14" s="987"/>
      <c r="J14" s="987"/>
      <c r="K14" s="987"/>
      <c r="L14" s="987"/>
      <c r="M14" s="2257"/>
      <c r="N14" s="1147" t="s">
        <v>133</v>
      </c>
      <c r="O14" s="987"/>
      <c r="P14" s="987"/>
      <c r="Q14" s="987"/>
      <c r="R14" s="987"/>
      <c r="S14" s="2257"/>
      <c r="T14" s="2263" t="s">
        <v>513</v>
      </c>
      <c r="U14" s="957"/>
      <c r="V14" s="957"/>
      <c r="W14" s="957"/>
      <c r="X14" s="957"/>
      <c r="Y14" s="1146"/>
      <c r="Z14" s="1147" t="s">
        <v>513</v>
      </c>
      <c r="AA14" s="987"/>
      <c r="AB14" s="987"/>
      <c r="AC14" s="987"/>
      <c r="AD14" s="987"/>
      <c r="AE14" s="2257"/>
    </row>
    <row r="15" spans="1:33" ht="30" customHeight="1" x14ac:dyDescent="0.25">
      <c r="A15" s="1321"/>
      <c r="B15" s="1109" t="s">
        <v>1048</v>
      </c>
      <c r="C15" s="1073"/>
      <c r="D15" s="1073"/>
      <c r="E15" s="1073"/>
      <c r="F15" s="1073"/>
      <c r="G15" s="2250"/>
      <c r="H15" s="1109" t="s">
        <v>150</v>
      </c>
      <c r="I15" s="1073"/>
      <c r="J15" s="1073"/>
      <c r="K15" s="1073"/>
      <c r="L15" s="1073"/>
      <c r="M15" s="2250"/>
      <c r="N15" s="1109" t="s">
        <v>619</v>
      </c>
      <c r="O15" s="1073"/>
      <c r="P15" s="1073"/>
      <c r="Q15" s="1073"/>
      <c r="R15" s="1073"/>
      <c r="S15" s="2250"/>
      <c r="T15" s="2260" t="s">
        <v>1047</v>
      </c>
      <c r="U15" s="952"/>
      <c r="V15" s="952"/>
      <c r="W15" s="952"/>
      <c r="X15" s="952"/>
      <c r="Y15" s="1047"/>
      <c r="Z15" s="1109" t="s">
        <v>1047</v>
      </c>
      <c r="AA15" s="1073"/>
      <c r="AB15" s="1073"/>
      <c r="AC15" s="1073"/>
      <c r="AD15" s="1073"/>
      <c r="AE15" s="2250"/>
    </row>
    <row r="16" spans="1:33" ht="30" customHeight="1" x14ac:dyDescent="0.3">
      <c r="A16" s="1321" t="s">
        <v>186</v>
      </c>
      <c r="B16" s="987" t="s">
        <v>123</v>
      </c>
      <c r="C16" s="987"/>
      <c r="D16" s="987"/>
      <c r="E16" s="987"/>
      <c r="F16" s="987"/>
      <c r="G16" s="2257"/>
      <c r="H16" s="1147" t="s">
        <v>933</v>
      </c>
      <c r="I16" s="987"/>
      <c r="J16" s="987"/>
      <c r="K16" s="987"/>
      <c r="L16" s="987"/>
      <c r="M16" s="2257"/>
      <c r="N16" s="1147" t="s">
        <v>133</v>
      </c>
      <c r="O16" s="987"/>
      <c r="P16" s="987"/>
      <c r="Q16" s="987"/>
      <c r="R16" s="987"/>
      <c r="S16" s="2257"/>
      <c r="T16" s="2263" t="s">
        <v>513</v>
      </c>
      <c r="U16" s="957"/>
      <c r="V16" s="957"/>
      <c r="W16" s="957"/>
      <c r="X16" s="957"/>
      <c r="Y16" s="1146"/>
      <c r="Z16" s="1147" t="s">
        <v>513</v>
      </c>
      <c r="AA16" s="987"/>
      <c r="AB16" s="987"/>
      <c r="AC16" s="987"/>
      <c r="AD16" s="987"/>
      <c r="AE16" s="2257"/>
    </row>
    <row r="17" spans="1:31" ht="30" customHeight="1" x14ac:dyDescent="0.25">
      <c r="A17" s="1100"/>
      <c r="B17" s="1073" t="s">
        <v>1048</v>
      </c>
      <c r="C17" s="1073"/>
      <c r="D17" s="1073"/>
      <c r="E17" s="1073"/>
      <c r="F17" s="1073"/>
      <c r="G17" s="2250"/>
      <c r="H17" s="1109" t="s">
        <v>150</v>
      </c>
      <c r="I17" s="1073"/>
      <c r="J17" s="1073"/>
      <c r="K17" s="1073"/>
      <c r="L17" s="1073"/>
      <c r="M17" s="2250"/>
      <c r="N17" s="1109" t="s">
        <v>619</v>
      </c>
      <c r="O17" s="1073"/>
      <c r="P17" s="1073"/>
      <c r="Q17" s="1073"/>
      <c r="R17" s="1073"/>
      <c r="S17" s="2250"/>
      <c r="T17" s="2260" t="s">
        <v>1047</v>
      </c>
      <c r="U17" s="952"/>
      <c r="V17" s="952"/>
      <c r="W17" s="952"/>
      <c r="X17" s="952"/>
      <c r="Y17" s="1047"/>
      <c r="Z17" s="1109" t="s">
        <v>1047</v>
      </c>
      <c r="AA17" s="1073"/>
      <c r="AB17" s="1073"/>
      <c r="AC17" s="1073"/>
      <c r="AD17" s="1073"/>
      <c r="AE17" s="2250"/>
    </row>
    <row r="18" spans="1:31" ht="52.5" customHeight="1" x14ac:dyDescent="0.25">
      <c r="A18" s="327"/>
    </row>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841" t="str">
        <f>VLOOKUP(M20,ASIGNATURAS!$F$1:$L$1022, 3, FALSE)</f>
        <v>TECN. ESTRUCT.</v>
      </c>
      <c r="B20" s="2841"/>
      <c r="C20" s="2261" t="str">
        <f>VLOOKUP(M20,ASIGNATURAS!$F$1:$L$1022, 4, FALSE)</f>
        <v>Tecnología  de Estructuras</v>
      </c>
      <c r="D20" s="2262"/>
      <c r="E20" s="2262"/>
      <c r="F20" s="2262"/>
      <c r="G20" s="2262"/>
      <c r="H20" s="2262"/>
      <c r="I20" s="2262"/>
      <c r="J20" s="2262"/>
      <c r="K20" s="2262"/>
      <c r="L20" s="2262"/>
      <c r="M20" s="2305">
        <v>7036</v>
      </c>
      <c r="N20" s="2306"/>
      <c r="O20" s="2305">
        <f>VLOOKUP(M20,ASIGNATURAS!$F$1:$L$1022, 5, FALSE)</f>
        <v>6</v>
      </c>
      <c r="P20" s="2306"/>
      <c r="Q20" s="2261" t="str">
        <f>VLOOKUP(M20,ASIGNATURAS!$F$1:$L$1022, 6, FALSE)</f>
        <v xml:space="preserve">Luis Suarez Vivar, Wilco Verbeeten </v>
      </c>
      <c r="R20" s="2262"/>
      <c r="S20" s="2262"/>
      <c r="T20" s="2262"/>
      <c r="U20" s="2262"/>
      <c r="V20" s="2262"/>
      <c r="W20" s="2262"/>
      <c r="X20" s="2262"/>
      <c r="Y20" s="2262"/>
      <c r="Z20" s="2262"/>
      <c r="AA20" s="2262"/>
      <c r="AB20" s="2262"/>
      <c r="AC20" s="2262"/>
      <c r="AD20" s="2262"/>
      <c r="AE20" s="2262"/>
    </row>
    <row r="21" spans="1:31" ht="13.8" x14ac:dyDescent="0.25">
      <c r="A21" s="1203" t="str">
        <f>VLOOKUP(M21,ASIGNATURAS!$F$1:$L$1022, 3, FALSE)</f>
        <v>GESTIÓN</v>
      </c>
      <c r="B21" s="1203"/>
      <c r="C21" s="981" t="str">
        <f>VLOOKUP(M21,ASIGNATURAS!$F$1:$L$1022, 4, FALSE)</f>
        <v>Gestión de Empresas</v>
      </c>
      <c r="D21" s="982"/>
      <c r="E21" s="982"/>
      <c r="F21" s="982"/>
      <c r="G21" s="982"/>
      <c r="H21" s="982"/>
      <c r="I21" s="982"/>
      <c r="J21" s="982"/>
      <c r="K21" s="982"/>
      <c r="L21" s="982"/>
      <c r="M21" s="936">
        <v>7037</v>
      </c>
      <c r="N21" s="1205"/>
      <c r="O21" s="936">
        <f>VLOOKUP(M21,ASIGNATURAS!$F$1:$L$1022, 5, FALSE)</f>
        <v>6</v>
      </c>
      <c r="P21" s="1205"/>
      <c r="Q21" s="2261" t="str">
        <f>VLOOKUP(M21,ASIGNATURAS!$F$1:$L$1022, 6, FALSE)</f>
        <v>Juan José Lavios Villahoz</v>
      </c>
      <c r="R21" s="2262"/>
      <c r="S21" s="2262"/>
      <c r="T21" s="2262"/>
      <c r="U21" s="2262"/>
      <c r="V21" s="2262"/>
      <c r="W21" s="2262"/>
      <c r="X21" s="2262"/>
      <c r="Y21" s="2262"/>
      <c r="Z21" s="2262"/>
      <c r="AA21" s="2262"/>
      <c r="AB21" s="2262"/>
      <c r="AC21" s="2262"/>
      <c r="AD21" s="2262"/>
      <c r="AE21" s="2262"/>
    </row>
    <row r="22" spans="1:31" ht="13.8" x14ac:dyDescent="0.25">
      <c r="A22" s="1203" t="str">
        <f>VLOOKUP(M22,ASIGNATURAS!$F$1:$L$1022, 3, FALSE)</f>
        <v>FABRIC. Y MAQ.</v>
      </c>
      <c r="B22" s="1203"/>
      <c r="C22" s="981" t="str">
        <f>VLOOKUP(M22,ASIGNATURAS!$F$1:$L$1022, 4, FALSE)</f>
        <v>Fabricación y Máquinas</v>
      </c>
      <c r="D22" s="982"/>
      <c r="E22" s="982"/>
      <c r="F22" s="982"/>
      <c r="G22" s="982"/>
      <c r="H22" s="982"/>
      <c r="I22" s="982"/>
      <c r="J22" s="982"/>
      <c r="K22" s="982"/>
      <c r="L22" s="982"/>
      <c r="M22" s="936">
        <v>7038</v>
      </c>
      <c r="N22" s="1205"/>
      <c r="O22" s="936">
        <f>VLOOKUP(M22,ASIGNATURAS!$F$1:$L$1022, 5, FALSE)</f>
        <v>6</v>
      </c>
      <c r="P22" s="1205"/>
      <c r="Q22" s="981" t="str">
        <f>VLOOKUP(M22,ASIGNATURAS!$F$1:$L$1022, 6, FALSE)</f>
        <v>Francisco Javier Gómez Gil</v>
      </c>
      <c r="R22" s="982"/>
      <c r="S22" s="982"/>
      <c r="T22" s="982"/>
      <c r="U22" s="982"/>
      <c r="V22" s="982"/>
      <c r="W22" s="982"/>
      <c r="X22" s="982"/>
      <c r="Y22" s="982"/>
      <c r="Z22" s="982"/>
      <c r="AA22" s="982"/>
      <c r="AB22" s="982"/>
      <c r="AC22" s="982"/>
      <c r="AD22" s="982"/>
      <c r="AE22" s="982"/>
    </row>
    <row r="23" spans="1:31" ht="13.8" x14ac:dyDescent="0.25">
      <c r="A23" s="1203" t="str">
        <f>VLOOKUP(M23,ASIGNATURAS!$F$1:$L$1022, 3, FALSE)</f>
        <v>SIST. ELÉCTRIC.</v>
      </c>
      <c r="B23" s="1203"/>
      <c r="C23" s="981" t="str">
        <f>VLOOKUP(M23,ASIGNATURAS!$F$1:$L$1022, 4, FALSE)</f>
        <v>Sistemas Eléctricos de Potencia</v>
      </c>
      <c r="D23" s="982"/>
      <c r="E23" s="982"/>
      <c r="F23" s="982"/>
      <c r="G23" s="982"/>
      <c r="H23" s="982"/>
      <c r="I23" s="982"/>
      <c r="J23" s="982"/>
      <c r="K23" s="982"/>
      <c r="L23" s="982"/>
      <c r="M23" s="936">
        <v>7039</v>
      </c>
      <c r="N23" s="1205"/>
      <c r="O23" s="936">
        <f>VLOOKUP(M23,ASIGNATURAS!$F$1:$L$1022, 5, FALSE)</f>
        <v>6</v>
      </c>
      <c r="P23" s="1205"/>
      <c r="Q23" s="981" t="str">
        <f>VLOOKUP(M23,ASIGNATURAS!$F$1:$L$1022, 6, FALSE)</f>
        <v>Jesús Sagredo González</v>
      </c>
      <c r="R23" s="982"/>
      <c r="S23" s="982"/>
      <c r="T23" s="982"/>
      <c r="U23" s="982"/>
      <c r="V23" s="982"/>
      <c r="W23" s="982"/>
      <c r="X23" s="982"/>
      <c r="Y23" s="982"/>
      <c r="Z23" s="982"/>
      <c r="AA23" s="982"/>
      <c r="AB23" s="982"/>
      <c r="AC23" s="982"/>
      <c r="AD23" s="982"/>
      <c r="AE23" s="982"/>
    </row>
    <row r="24" spans="1:31" ht="13.8" x14ac:dyDescent="0.25">
      <c r="A24" s="1203" t="str">
        <f>VLOOKUP(M24,ASIGNATURAS!$F$1:$L$1022, 3, FALSE)</f>
        <v>DERECHO</v>
      </c>
      <c r="B24" s="1203"/>
      <c r="C24" s="981" t="str">
        <f>VLOOKUP(M24,ASIGNATURAS!$F$1:$L$1022, 4, FALSE)</f>
        <v>Derecho Mercantil y Laboral</v>
      </c>
      <c r="D24" s="982"/>
      <c r="E24" s="982"/>
      <c r="F24" s="982"/>
      <c r="G24" s="982"/>
      <c r="H24" s="982"/>
      <c r="I24" s="982"/>
      <c r="J24" s="982"/>
      <c r="K24" s="982"/>
      <c r="L24" s="982"/>
      <c r="M24" s="936">
        <v>7040</v>
      </c>
      <c r="N24" s="1205"/>
      <c r="O24" s="936">
        <f>VLOOKUP(M24,ASIGNATURAS!$F$1:$L$1022, 5, FALSE)</f>
        <v>3</v>
      </c>
      <c r="P24" s="1205"/>
      <c r="Q24" s="981" t="str">
        <f>VLOOKUP(M24,ASIGNATURAS!$F$1:$L$1022, 6, FALSE)</f>
        <v>Juan Cruz Monje Santillana</v>
      </c>
      <c r="R24" s="982"/>
      <c r="S24" s="982"/>
      <c r="T24" s="982"/>
      <c r="U24" s="982"/>
      <c r="V24" s="982"/>
      <c r="W24" s="982"/>
      <c r="X24" s="982"/>
      <c r="Y24" s="982"/>
      <c r="Z24" s="982"/>
      <c r="AA24" s="982"/>
      <c r="AB24" s="982"/>
      <c r="AC24" s="982"/>
      <c r="AD24" s="982"/>
      <c r="AE24" s="982"/>
    </row>
    <row r="25" spans="1:31" ht="13.8" x14ac:dyDescent="0.25">
      <c r="A25" s="1203" t="str">
        <f>VLOOKUP(M25,ASIGNATURAS!$F$1:$L$1022, 3, FALSE)</f>
        <v>QUÍMICA IND.</v>
      </c>
      <c r="B25" s="1203"/>
      <c r="C25" s="981" t="str">
        <f>VLOOKUP(M25,ASIGNATURAS!$F$1:$L$1022, 4, FALSE)</f>
        <v>Química Industrial</v>
      </c>
      <c r="D25" s="982"/>
      <c r="E25" s="982"/>
      <c r="F25" s="982"/>
      <c r="G25" s="982"/>
      <c r="H25" s="982"/>
      <c r="I25" s="982"/>
      <c r="J25" s="982"/>
      <c r="K25" s="982"/>
      <c r="L25" s="982"/>
      <c r="M25" s="936">
        <v>7041</v>
      </c>
      <c r="N25" s="1205"/>
      <c r="O25" s="936">
        <f>VLOOKUP(M25,ASIGNATURAS!$F$1:$L$1022, 5, FALSE)</f>
        <v>3</v>
      </c>
      <c r="P25" s="1205"/>
      <c r="Q25" s="981" t="str">
        <f>VLOOKUP(M25,ASIGNATURAS!$F$1:$L$1022, 6, FALSE)</f>
        <v>Fco. Javier Rodríguez Vidal, Luis Marcos Naveira</v>
      </c>
      <c r="R25" s="982"/>
      <c r="S25" s="982"/>
      <c r="T25" s="982"/>
      <c r="U25" s="982"/>
      <c r="V25" s="982"/>
      <c r="W25" s="982"/>
      <c r="X25" s="982"/>
      <c r="Y25" s="982"/>
      <c r="Z25" s="982"/>
      <c r="AA25" s="982"/>
      <c r="AB25" s="982"/>
      <c r="AC25" s="982"/>
      <c r="AD25" s="982"/>
      <c r="AE25" s="982"/>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4" s="1" customFormat="1" ht="31.5" customHeight="1" x14ac:dyDescent="0.4">
      <c r="A33" s="2802" t="str">
        <f>VLOOKUP(A36,ASIGNATURAS!$A$2:$D$138, 3, FALSE)</f>
        <v>1º Máster en Ingeniería Industrial</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4" s="8" customFormat="1" ht="23.25" customHeight="1" x14ac:dyDescent="0.4">
      <c r="A34" s="2264" t="str">
        <f>VLOOKUP(A36,ASIGNATURAS!$A$2:$D$138, 2, FALSE)</f>
        <v>Semestre temporal: 2º        (2º Semestre Académico)</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151</v>
      </c>
      <c r="AA34" s="2279"/>
      <c r="AB34" s="2279"/>
      <c r="AC34" s="2279"/>
      <c r="AD34" s="2279"/>
      <c r="AE34" s="2280"/>
    </row>
    <row r="35" spans="1:34"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4" ht="38.25" customHeight="1" x14ac:dyDescent="0.25">
      <c r="A36" s="23" t="s">
        <v>118</v>
      </c>
    </row>
    <row r="37" spans="1:34"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4" ht="30" customHeight="1" x14ac:dyDescent="0.3">
      <c r="A38" s="1375" t="s">
        <v>1091</v>
      </c>
      <c r="B38" s="2762"/>
      <c r="C38" s="2762"/>
      <c r="D38" s="2762"/>
      <c r="E38" s="2762"/>
      <c r="F38" s="2762"/>
      <c r="G38" s="2801"/>
      <c r="H38" s="2762"/>
      <c r="I38" s="2762"/>
      <c r="J38" s="2762"/>
      <c r="K38" s="2762"/>
      <c r="L38" s="2762"/>
      <c r="M38" s="2801"/>
      <c r="N38" s="2762"/>
      <c r="O38" s="2762"/>
      <c r="P38" s="2762"/>
      <c r="Q38" s="2762"/>
      <c r="R38" s="2762"/>
      <c r="S38" s="2801"/>
      <c r="T38" s="2840"/>
      <c r="U38" s="2762"/>
      <c r="V38" s="2762"/>
      <c r="W38" s="2762"/>
      <c r="X38" s="2762"/>
      <c r="Y38" s="2801"/>
      <c r="Z38" s="2762"/>
      <c r="AA38" s="2762"/>
      <c r="AB38" s="2762"/>
      <c r="AC38" s="2762"/>
      <c r="AD38" s="2762"/>
      <c r="AE38" s="2801"/>
    </row>
    <row r="39" spans="1:34" ht="30" customHeight="1" x14ac:dyDescent="0.25">
      <c r="A39" s="1105"/>
      <c r="B39" s="1107"/>
      <c r="C39" s="1107"/>
      <c r="D39" s="1107"/>
      <c r="E39" s="1107"/>
      <c r="F39" s="1107"/>
      <c r="G39" s="1108"/>
      <c r="H39" s="1107"/>
      <c r="I39" s="1107"/>
      <c r="J39" s="1107"/>
      <c r="K39" s="1107"/>
      <c r="L39" s="1107"/>
      <c r="M39" s="1108"/>
      <c r="N39" s="1107"/>
      <c r="O39" s="1107"/>
      <c r="P39" s="1107"/>
      <c r="Q39" s="1107"/>
      <c r="R39" s="1107"/>
      <c r="S39" s="1108"/>
      <c r="T39" s="1107"/>
      <c r="U39" s="1107"/>
      <c r="V39" s="1107"/>
      <c r="W39" s="1107"/>
      <c r="X39" s="1107"/>
      <c r="Y39" s="1108"/>
      <c r="Z39" s="1107"/>
      <c r="AA39" s="1107"/>
      <c r="AB39" s="1107"/>
      <c r="AC39" s="1107"/>
      <c r="AD39" s="1107"/>
      <c r="AE39" s="1108"/>
    </row>
    <row r="40" spans="1:34" ht="30" customHeight="1" x14ac:dyDescent="0.3">
      <c r="A40" s="1100" t="s">
        <v>183</v>
      </c>
      <c r="B40" s="2800"/>
      <c r="C40" s="1154"/>
      <c r="D40" s="1154"/>
      <c r="E40" s="1154"/>
      <c r="F40" s="1154"/>
      <c r="G40" s="1155"/>
      <c r="H40" s="2800"/>
      <c r="I40" s="1154"/>
      <c r="J40" s="1154"/>
      <c r="K40" s="1154"/>
      <c r="L40" s="1154"/>
      <c r="M40" s="1155"/>
      <c r="N40" s="2800"/>
      <c r="O40" s="1154"/>
      <c r="P40" s="1154"/>
      <c r="Q40" s="1154"/>
      <c r="R40" s="1154"/>
      <c r="S40" s="1155"/>
      <c r="T40" s="2800"/>
      <c r="U40" s="1154"/>
      <c r="V40" s="1154"/>
      <c r="W40" s="1154"/>
      <c r="X40" s="1154"/>
      <c r="Y40" s="1155"/>
      <c r="Z40" s="2762"/>
      <c r="AA40" s="2762"/>
      <c r="AB40" s="2762"/>
      <c r="AC40" s="2762"/>
      <c r="AD40" s="2762"/>
      <c r="AE40" s="2801"/>
    </row>
    <row r="41" spans="1:34" ht="30" customHeight="1" x14ac:dyDescent="0.25">
      <c r="A41" s="1105"/>
      <c r="B41" s="2276"/>
      <c r="C41" s="1107"/>
      <c r="D41" s="1107"/>
      <c r="E41" s="1107"/>
      <c r="F41" s="1107"/>
      <c r="G41" s="1108"/>
      <c r="H41" s="2276"/>
      <c r="I41" s="1107"/>
      <c r="J41" s="1107"/>
      <c r="K41" s="1107"/>
      <c r="L41" s="1107"/>
      <c r="M41" s="1108"/>
      <c r="N41" s="2276"/>
      <c r="O41" s="1107"/>
      <c r="P41" s="1107"/>
      <c r="Q41" s="1107"/>
      <c r="R41" s="1107"/>
      <c r="S41" s="1108"/>
      <c r="T41" s="2276"/>
      <c r="U41" s="1107"/>
      <c r="V41" s="1107"/>
      <c r="W41" s="1107"/>
      <c r="X41" s="1107"/>
      <c r="Y41" s="1108"/>
      <c r="Z41" s="2276"/>
      <c r="AA41" s="1107"/>
      <c r="AB41" s="1107"/>
      <c r="AC41" s="1107"/>
      <c r="AD41" s="1107"/>
      <c r="AE41" s="1108"/>
    </row>
    <row r="42" spans="1:34" ht="30" customHeight="1" x14ac:dyDescent="0.3">
      <c r="A42" s="1321" t="s">
        <v>182</v>
      </c>
      <c r="B42" s="995" t="s">
        <v>124</v>
      </c>
      <c r="C42" s="995"/>
      <c r="D42" s="995"/>
      <c r="E42" s="995"/>
      <c r="F42" s="995"/>
      <c r="G42" s="2253"/>
      <c r="H42" s="995" t="s">
        <v>121</v>
      </c>
      <c r="I42" s="995"/>
      <c r="J42" s="995"/>
      <c r="K42" s="995"/>
      <c r="L42" s="995"/>
      <c r="M42" s="2253"/>
      <c r="N42" s="995" t="s">
        <v>125</v>
      </c>
      <c r="O42" s="995"/>
      <c r="P42" s="995"/>
      <c r="Q42" s="995"/>
      <c r="R42" s="995"/>
      <c r="S42" s="2253"/>
      <c r="T42" s="2799" t="s">
        <v>125</v>
      </c>
      <c r="U42" s="1096"/>
      <c r="V42" s="1096"/>
      <c r="W42" s="1096"/>
      <c r="X42" s="1096"/>
      <c r="Y42" s="2256"/>
      <c r="Z42" s="995" t="s">
        <v>928</v>
      </c>
      <c r="AA42" s="995"/>
      <c r="AB42" s="995"/>
      <c r="AC42" s="995"/>
      <c r="AD42" s="995"/>
      <c r="AE42" s="2253"/>
      <c r="AH42" s="20"/>
    </row>
    <row r="43" spans="1:34" ht="30" customHeight="1" x14ac:dyDescent="0.25">
      <c r="A43" s="1321"/>
      <c r="B43" s="952" t="s">
        <v>151</v>
      </c>
      <c r="C43" s="952"/>
      <c r="D43" s="952"/>
      <c r="E43" s="952"/>
      <c r="F43" s="952"/>
      <c r="G43" s="1047"/>
      <c r="H43" s="952" t="s">
        <v>151</v>
      </c>
      <c r="I43" s="952"/>
      <c r="J43" s="952"/>
      <c r="K43" s="952"/>
      <c r="L43" s="952"/>
      <c r="M43" s="1047"/>
      <c r="N43" s="952" t="s">
        <v>1084</v>
      </c>
      <c r="O43" s="952"/>
      <c r="P43" s="952"/>
      <c r="Q43" s="952"/>
      <c r="R43" s="952"/>
      <c r="S43" s="1047"/>
      <c r="T43" s="1109" t="s">
        <v>142</v>
      </c>
      <c r="U43" s="1073"/>
      <c r="V43" s="1073"/>
      <c r="W43" s="1073"/>
      <c r="X43" s="1073"/>
      <c r="Y43" s="2250"/>
      <c r="Z43" s="952" t="s">
        <v>151</v>
      </c>
      <c r="AA43" s="952"/>
      <c r="AB43" s="952"/>
      <c r="AC43" s="952"/>
      <c r="AD43" s="952"/>
      <c r="AE43" s="1047"/>
    </row>
    <row r="44" spans="1:34" ht="30" customHeight="1" x14ac:dyDescent="0.3">
      <c r="A44" s="1105" t="s">
        <v>184</v>
      </c>
      <c r="B44" s="2263" t="s">
        <v>124</v>
      </c>
      <c r="C44" s="957"/>
      <c r="D44" s="957"/>
      <c r="E44" s="957"/>
      <c r="F44" s="957"/>
      <c r="G44" s="1146"/>
      <c r="H44" s="2263" t="s">
        <v>121</v>
      </c>
      <c r="I44" s="957"/>
      <c r="J44" s="957"/>
      <c r="K44" s="957"/>
      <c r="L44" s="957"/>
      <c r="M44" s="1146"/>
      <c r="N44" s="2263" t="s">
        <v>125</v>
      </c>
      <c r="O44" s="957"/>
      <c r="P44" s="957"/>
      <c r="Q44" s="957"/>
      <c r="R44" s="957"/>
      <c r="S44" s="1146"/>
      <c r="T44" s="1147" t="s">
        <v>125</v>
      </c>
      <c r="U44" s="987"/>
      <c r="V44" s="987"/>
      <c r="W44" s="987"/>
      <c r="X44" s="987"/>
      <c r="Y44" s="2257"/>
      <c r="Z44" s="995" t="s">
        <v>928</v>
      </c>
      <c r="AA44" s="995"/>
      <c r="AB44" s="995"/>
      <c r="AC44" s="995"/>
      <c r="AD44" s="995"/>
      <c r="AE44" s="2253"/>
    </row>
    <row r="45" spans="1:34" ht="30" customHeight="1" x14ac:dyDescent="0.25">
      <c r="A45" s="1321"/>
      <c r="B45" s="2260" t="s">
        <v>151</v>
      </c>
      <c r="C45" s="952"/>
      <c r="D45" s="952"/>
      <c r="E45" s="952"/>
      <c r="F45" s="952"/>
      <c r="G45" s="1047"/>
      <c r="H45" s="2260" t="s">
        <v>151</v>
      </c>
      <c r="I45" s="952"/>
      <c r="J45" s="952"/>
      <c r="K45" s="952"/>
      <c r="L45" s="952"/>
      <c r="M45" s="1047"/>
      <c r="N45" s="2260" t="s">
        <v>1084</v>
      </c>
      <c r="O45" s="952"/>
      <c r="P45" s="952"/>
      <c r="Q45" s="952"/>
      <c r="R45" s="952"/>
      <c r="S45" s="1047"/>
      <c r="T45" s="1109" t="s">
        <v>142</v>
      </c>
      <c r="U45" s="1073"/>
      <c r="V45" s="1073"/>
      <c r="W45" s="1073"/>
      <c r="X45" s="1073"/>
      <c r="Y45" s="2250"/>
      <c r="Z45" s="2260" t="s">
        <v>151</v>
      </c>
      <c r="AA45" s="952"/>
      <c r="AB45" s="952"/>
      <c r="AC45" s="952"/>
      <c r="AD45" s="952"/>
      <c r="AE45" s="1047"/>
    </row>
    <row r="46" spans="1:34" ht="30" customHeight="1" x14ac:dyDescent="0.3">
      <c r="A46" s="1105" t="s">
        <v>185</v>
      </c>
      <c r="B46" s="1147" t="s">
        <v>121</v>
      </c>
      <c r="C46" s="987"/>
      <c r="D46" s="987"/>
      <c r="E46" s="987"/>
      <c r="F46" s="987"/>
      <c r="G46" s="2257"/>
      <c r="H46" s="1147" t="s">
        <v>124</v>
      </c>
      <c r="I46" s="987"/>
      <c r="J46" s="987"/>
      <c r="K46" s="987"/>
      <c r="L46" s="987"/>
      <c r="M46" s="2257"/>
      <c r="N46" s="1096" t="s">
        <v>928</v>
      </c>
      <c r="O46" s="1096"/>
      <c r="P46" s="1096"/>
      <c r="Q46" s="1096"/>
      <c r="R46" s="1096"/>
      <c r="S46" s="2256"/>
      <c r="T46" s="2263" t="s">
        <v>122</v>
      </c>
      <c r="U46" s="957"/>
      <c r="V46" s="957"/>
      <c r="W46" s="957"/>
      <c r="X46" s="957"/>
      <c r="Y46" s="1146"/>
      <c r="Z46" s="1147" t="s">
        <v>122</v>
      </c>
      <c r="AA46" s="987"/>
      <c r="AB46" s="987"/>
      <c r="AC46" s="987"/>
      <c r="AD46" s="987"/>
      <c r="AE46" s="2257"/>
    </row>
    <row r="47" spans="1:34" ht="30" customHeight="1" x14ac:dyDescent="0.25">
      <c r="A47" s="1321"/>
      <c r="B47" s="1109" t="s">
        <v>1224</v>
      </c>
      <c r="C47" s="1073"/>
      <c r="D47" s="1073"/>
      <c r="E47" s="1073"/>
      <c r="F47" s="1073"/>
      <c r="G47" s="2250"/>
      <c r="H47" s="1109" t="s">
        <v>151</v>
      </c>
      <c r="I47" s="1073"/>
      <c r="J47" s="1073"/>
      <c r="K47" s="1073"/>
      <c r="L47" s="1073"/>
      <c r="M47" s="2250"/>
      <c r="N47" s="1109" t="s">
        <v>667</v>
      </c>
      <c r="O47" s="1073"/>
      <c r="P47" s="1073"/>
      <c r="Q47" s="1073"/>
      <c r="R47" s="1073"/>
      <c r="S47" s="2250"/>
      <c r="T47" s="2260" t="s">
        <v>567</v>
      </c>
      <c r="U47" s="952"/>
      <c r="V47" s="952"/>
      <c r="W47" s="952"/>
      <c r="X47" s="952"/>
      <c r="Y47" s="1047"/>
      <c r="Z47" s="1109" t="s">
        <v>567</v>
      </c>
      <c r="AA47" s="1073"/>
      <c r="AB47" s="1073"/>
      <c r="AC47" s="1073"/>
      <c r="AD47" s="1073"/>
      <c r="AE47" s="2250"/>
    </row>
    <row r="48" spans="1:34" ht="30" customHeight="1" x14ac:dyDescent="0.3">
      <c r="A48" s="1321" t="s">
        <v>186</v>
      </c>
      <c r="B48" s="1147" t="s">
        <v>121</v>
      </c>
      <c r="C48" s="987"/>
      <c r="D48" s="987"/>
      <c r="E48" s="987"/>
      <c r="F48" s="987"/>
      <c r="G48" s="2257"/>
      <c r="H48" s="1147" t="s">
        <v>124</v>
      </c>
      <c r="I48" s="987"/>
      <c r="J48" s="987"/>
      <c r="K48" s="987"/>
      <c r="L48" s="987"/>
      <c r="M48" s="2257"/>
      <c r="N48" s="1096" t="s">
        <v>928</v>
      </c>
      <c r="O48" s="1096"/>
      <c r="P48" s="1096"/>
      <c r="Q48" s="1096"/>
      <c r="R48" s="1096"/>
      <c r="S48" s="2256"/>
      <c r="T48" s="2263" t="s">
        <v>122</v>
      </c>
      <c r="U48" s="957"/>
      <c r="V48" s="957"/>
      <c r="W48" s="957"/>
      <c r="X48" s="957"/>
      <c r="Y48" s="1146"/>
      <c r="Z48" s="1147" t="s">
        <v>122</v>
      </c>
      <c r="AA48" s="987"/>
      <c r="AB48" s="987"/>
      <c r="AC48" s="987"/>
      <c r="AD48" s="987"/>
      <c r="AE48" s="2257"/>
    </row>
    <row r="49" spans="1:31" ht="30" customHeight="1" x14ac:dyDescent="0.25">
      <c r="A49" s="1100"/>
      <c r="B49" s="1109" t="s">
        <v>1224</v>
      </c>
      <c r="C49" s="1073"/>
      <c r="D49" s="1073"/>
      <c r="E49" s="1073"/>
      <c r="F49" s="1073"/>
      <c r="G49" s="2250"/>
      <c r="H49" s="1109" t="s">
        <v>151</v>
      </c>
      <c r="I49" s="1073"/>
      <c r="J49" s="1073"/>
      <c r="K49" s="1073"/>
      <c r="L49" s="1073"/>
      <c r="M49" s="2250"/>
      <c r="N49" s="1109" t="s">
        <v>667</v>
      </c>
      <c r="O49" s="1073"/>
      <c r="P49" s="1073"/>
      <c r="Q49" s="1073"/>
      <c r="R49" s="1073"/>
      <c r="S49" s="2250"/>
      <c r="T49" s="2260" t="s">
        <v>567</v>
      </c>
      <c r="U49" s="952"/>
      <c r="V49" s="952"/>
      <c r="W49" s="952"/>
      <c r="X49" s="952"/>
      <c r="Y49" s="1047"/>
      <c r="Z49" s="1109" t="s">
        <v>567</v>
      </c>
      <c r="AA49" s="1073"/>
      <c r="AB49" s="1073"/>
      <c r="AC49" s="1073"/>
      <c r="AD49" s="1073"/>
      <c r="AE49" s="2250"/>
    </row>
    <row r="50" spans="1:31" ht="52.5" customHeight="1" x14ac:dyDescent="0.25">
      <c r="A50" s="327"/>
    </row>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841" t="str">
        <f>VLOOKUP(M52,ASIGNATURAS!$F$1:$L$1022, 3, FALSE)</f>
        <v>CONST. Y EDIFIC.</v>
      </c>
      <c r="B52" s="2841"/>
      <c r="C52" s="2261" t="str">
        <f>VLOOKUP(M52,ASIGNATURAS!$F$1:$L$1022, 4, FALSE)</f>
        <v>Construcción y Edificación de Plantas Industriales</v>
      </c>
      <c r="D52" s="2262"/>
      <c r="E52" s="2262"/>
      <c r="F52" s="2262"/>
      <c r="G52" s="2262"/>
      <c r="H52" s="2262"/>
      <c r="I52" s="2262"/>
      <c r="J52" s="2262"/>
      <c r="K52" s="2262"/>
      <c r="L52" s="2262"/>
      <c r="M52" s="2305">
        <v>7042</v>
      </c>
      <c r="N52" s="2306"/>
      <c r="O52" s="2305">
        <f>VLOOKUP(M52,ASIGNATURAS!$F$1:$L$1022, 5, FALSE)</f>
        <v>6</v>
      </c>
      <c r="P52" s="2306"/>
      <c r="Q52" s="2261" t="str">
        <f>VLOOKUP(M52,ASIGNATURAS!$F$1:$L$1022, 6, FALSE)</f>
        <v>Luis Alfredo Suárez Vivar</v>
      </c>
      <c r="R52" s="2262"/>
      <c r="S52" s="2262"/>
      <c r="T52" s="2262"/>
      <c r="U52" s="2262"/>
      <c r="V52" s="2262"/>
      <c r="W52" s="2262"/>
      <c r="X52" s="2262"/>
      <c r="Y52" s="2262"/>
      <c r="Z52" s="2262"/>
      <c r="AA52" s="2262"/>
      <c r="AB52" s="2262"/>
      <c r="AC52" s="2262"/>
      <c r="AD52" s="2262"/>
      <c r="AE52" s="2262"/>
    </row>
    <row r="53" spans="1:31" ht="13.8" x14ac:dyDescent="0.25">
      <c r="A53" s="1203" t="str">
        <f>VLOOKUP(M53,ASIGNATURAS!$F$1:$L$1022, 3, FALSE)</f>
        <v>DIRECCIÓN PROD.</v>
      </c>
      <c r="B53" s="1203"/>
      <c r="C53" s="981" t="str">
        <f>VLOOKUP(M53,ASIGNATURAS!$F$1:$L$1022, 4, FALSE)</f>
        <v>Dirección de la Producción y Proyectos</v>
      </c>
      <c r="D53" s="982"/>
      <c r="E53" s="982"/>
      <c r="F53" s="982"/>
      <c r="G53" s="982"/>
      <c r="H53" s="982"/>
      <c r="I53" s="982"/>
      <c r="J53" s="982"/>
      <c r="K53" s="982"/>
      <c r="L53" s="982"/>
      <c r="M53" s="936">
        <v>7043</v>
      </c>
      <c r="N53" s="1205"/>
      <c r="O53" s="936">
        <f>VLOOKUP(M53,ASIGNATURAS!$F$1:$L$1022, 5, FALSE)</f>
        <v>6</v>
      </c>
      <c r="P53" s="1205"/>
      <c r="Q53" s="981" t="str">
        <f>VLOOKUP(M53,ASIGNATURAS!$F$1:$L$1022, 6, FALSE)</f>
        <v>Miguel Angel Mariscal, Ricardo del Olmo</v>
      </c>
      <c r="R53" s="982"/>
      <c r="S53" s="982"/>
      <c r="T53" s="982"/>
      <c r="U53" s="982"/>
      <c r="V53" s="982"/>
      <c r="W53" s="982"/>
      <c r="X53" s="982"/>
      <c r="Y53" s="982"/>
      <c r="Z53" s="982"/>
      <c r="AA53" s="982"/>
      <c r="AB53" s="982"/>
      <c r="AC53" s="982"/>
      <c r="AD53" s="982"/>
      <c r="AE53" s="982"/>
    </row>
    <row r="54" spans="1:31" ht="13.8" x14ac:dyDescent="0.25">
      <c r="A54" s="1203" t="str">
        <f>VLOOKUP(M54,ASIGNATURAS!$F$1:$L$1022, 3, FALSE)</f>
        <v>ING. ENERGÉTICA</v>
      </c>
      <c r="B54" s="1203"/>
      <c r="C54" s="981" t="str">
        <f>VLOOKUP(M54,ASIGNATURAS!$F$1:$L$1022, 4, FALSE)</f>
        <v>Ingeniería Energética</v>
      </c>
      <c r="D54" s="982"/>
      <c r="E54" s="982"/>
      <c r="F54" s="982"/>
      <c r="G54" s="982"/>
      <c r="H54" s="982"/>
      <c r="I54" s="982"/>
      <c r="J54" s="982"/>
      <c r="K54" s="982"/>
      <c r="L54" s="982"/>
      <c r="M54" s="936">
        <v>7044</v>
      </c>
      <c r="N54" s="1205"/>
      <c r="O54" s="936">
        <f>VLOOKUP(M54,ASIGNATURAS!$F$1:$L$1022, 5, FALSE)</f>
        <v>6</v>
      </c>
      <c r="P54" s="1205"/>
      <c r="Q54" s="981" t="str">
        <f>VLOOKUP(M54,ASIGNATURAS!$F$1:$L$1022, 6, FALSE)</f>
        <v>Fernando Aguilar Romero, Natalia Muñoz</v>
      </c>
      <c r="R54" s="982"/>
      <c r="S54" s="982"/>
      <c r="T54" s="982"/>
      <c r="U54" s="982"/>
      <c r="V54" s="982"/>
      <c r="W54" s="982"/>
      <c r="X54" s="982"/>
      <c r="Y54" s="982"/>
      <c r="Z54" s="982"/>
      <c r="AA54" s="982"/>
      <c r="AB54" s="982"/>
      <c r="AC54" s="982"/>
      <c r="AD54" s="982"/>
      <c r="AE54" s="982"/>
    </row>
    <row r="55" spans="1:31" ht="13.8" x14ac:dyDescent="0.25">
      <c r="A55" s="1203" t="str">
        <f>VLOOKUP(M55,ASIGNATURAS!$F$1:$L$1022, 3, FALSE)</f>
        <v>CONT. PROCESOS</v>
      </c>
      <c r="B55" s="1203"/>
      <c r="C55" s="981" t="str">
        <f>VLOOKUP(M55,ASIGNATURAS!$F$1:$L$1022, 4, FALSE)</f>
        <v>Control Avanzado de Procesos</v>
      </c>
      <c r="D55" s="982"/>
      <c r="E55" s="982"/>
      <c r="F55" s="982"/>
      <c r="G55" s="982"/>
      <c r="H55" s="982"/>
      <c r="I55" s="982"/>
      <c r="J55" s="982"/>
      <c r="K55" s="982"/>
      <c r="L55" s="982"/>
      <c r="M55" s="936">
        <v>7045</v>
      </c>
      <c r="N55" s="1205"/>
      <c r="O55" s="936">
        <f>VLOOKUP(M55,ASIGNATURAS!$F$1:$L$1022, 5, FALSE)</f>
        <v>6</v>
      </c>
      <c r="P55" s="1205"/>
      <c r="Q55" s="981" t="str">
        <f>VLOOKUP(M55,ASIGNATURAS!$F$1:$L$1022, 6, FALSE)</f>
        <v>Daniel Sarabia Ortiz</v>
      </c>
      <c r="R55" s="982"/>
      <c r="S55" s="982"/>
      <c r="T55" s="982"/>
      <c r="U55" s="982"/>
      <c r="V55" s="982"/>
      <c r="W55" s="982"/>
      <c r="X55" s="982"/>
      <c r="Y55" s="982"/>
      <c r="Z55" s="982"/>
      <c r="AA55" s="982"/>
      <c r="AB55" s="982"/>
      <c r="AC55" s="982"/>
      <c r="AD55" s="982"/>
      <c r="AE55" s="982"/>
    </row>
    <row r="56" spans="1:31" ht="13.8" x14ac:dyDescent="0.25">
      <c r="A56" s="1203" t="str">
        <f>VLOOKUP(M56,ASIGNATURAS!$F$1:$L$1022, 3, FALSE)</f>
        <v>ING. ELECTRÓN.</v>
      </c>
      <c r="B56" s="1203"/>
      <c r="C56" s="981" t="str">
        <f>VLOOKUP(M56,ASIGNATURAS!$F$1:$L$1022, 4, FALSE)</f>
        <v>Ingeniería Electrónica</v>
      </c>
      <c r="D56" s="982"/>
      <c r="E56" s="982"/>
      <c r="F56" s="982"/>
      <c r="G56" s="982"/>
      <c r="H56" s="982"/>
      <c r="I56" s="982"/>
      <c r="J56" s="982"/>
      <c r="K56" s="982"/>
      <c r="L56" s="982"/>
      <c r="M56" s="936">
        <v>7046</v>
      </c>
      <c r="N56" s="1205"/>
      <c r="O56" s="936">
        <f>VLOOKUP(M56,ASIGNATURAS!$F$1:$L$1022, 5, FALSE)</f>
        <v>6</v>
      </c>
      <c r="P56" s="1205"/>
      <c r="Q56" s="981" t="str">
        <f>VLOOKUP(M56,ASIGNATURAS!$F$1:$L$1022, 6, FALSE)</f>
        <v>Alberto Estébanez</v>
      </c>
      <c r="R56" s="982"/>
      <c r="S56" s="982"/>
      <c r="T56" s="982"/>
      <c r="U56" s="982"/>
      <c r="V56" s="982"/>
      <c r="W56" s="982"/>
      <c r="X56" s="982"/>
      <c r="Y56" s="982"/>
      <c r="Z56" s="982"/>
      <c r="AA56" s="982"/>
      <c r="AB56" s="982"/>
      <c r="AC56" s="982"/>
      <c r="AD56" s="982"/>
      <c r="AE56" s="982"/>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155</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1375" t="s">
        <v>1091</v>
      </c>
      <c r="B70" s="2846" t="s">
        <v>913</v>
      </c>
      <c r="C70" s="2846"/>
      <c r="D70" s="2846"/>
      <c r="E70" s="2846"/>
      <c r="F70" s="2846"/>
      <c r="G70" s="2847"/>
      <c r="H70" s="995" t="s">
        <v>925</v>
      </c>
      <c r="I70" s="995"/>
      <c r="J70" s="995"/>
      <c r="K70" s="995"/>
      <c r="L70" s="995"/>
      <c r="M70" s="2253"/>
      <c r="N70" s="2846" t="s">
        <v>913</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105"/>
      <c r="B71" s="2850"/>
      <c r="C71" s="2850"/>
      <c r="D71" s="2850"/>
      <c r="E71" s="2850"/>
      <c r="F71" s="2850"/>
      <c r="G71" s="2851"/>
      <c r="H71" s="2260"/>
      <c r="I71" s="952"/>
      <c r="J71" s="952"/>
      <c r="K71" s="952"/>
      <c r="L71" s="952"/>
      <c r="M71" s="1047"/>
      <c r="N71" s="2850"/>
      <c r="O71" s="2850"/>
      <c r="P71" s="2850"/>
      <c r="Q71" s="2850"/>
      <c r="R71" s="2850"/>
      <c r="S71" s="2851"/>
      <c r="T71" s="2260"/>
      <c r="U71" s="952"/>
      <c r="V71" s="952"/>
      <c r="W71" s="952"/>
      <c r="X71" s="952"/>
      <c r="Y71" s="1047"/>
      <c r="Z71" s="2260"/>
      <c r="AA71" s="952"/>
      <c r="AB71" s="952"/>
      <c r="AC71" s="952"/>
      <c r="AD71" s="952"/>
      <c r="AE71" s="1047"/>
    </row>
    <row r="72" spans="1:47" ht="30" customHeight="1" x14ac:dyDescent="0.3">
      <c r="A72" s="1100" t="s">
        <v>183</v>
      </c>
      <c r="B72" s="2852" t="s">
        <v>913</v>
      </c>
      <c r="C72" s="2844"/>
      <c r="D72" s="2844"/>
      <c r="E72" s="2844"/>
      <c r="F72" s="2844"/>
      <c r="G72" s="2845"/>
      <c r="H72" s="995" t="s">
        <v>925</v>
      </c>
      <c r="I72" s="995"/>
      <c r="J72" s="995"/>
      <c r="K72" s="995"/>
      <c r="L72" s="995"/>
      <c r="M72" s="2253"/>
      <c r="N72" s="2846" t="s">
        <v>913</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105"/>
      <c r="B73" s="2850"/>
      <c r="C73" s="2850"/>
      <c r="D73" s="2850"/>
      <c r="E73" s="2850"/>
      <c r="F73" s="2850"/>
      <c r="G73" s="2851"/>
      <c r="H73" s="2260"/>
      <c r="I73" s="952"/>
      <c r="J73" s="952"/>
      <c r="K73" s="952"/>
      <c r="L73" s="952"/>
      <c r="M73" s="1047"/>
      <c r="N73" s="2850"/>
      <c r="O73" s="2850"/>
      <c r="P73" s="2850"/>
      <c r="Q73" s="2850"/>
      <c r="R73" s="2850"/>
      <c r="S73" s="2851"/>
      <c r="T73" s="2260"/>
      <c r="U73" s="952"/>
      <c r="V73" s="952"/>
      <c r="W73" s="952"/>
      <c r="X73" s="952"/>
      <c r="Y73" s="1047"/>
      <c r="Z73" s="2260"/>
      <c r="AA73" s="952"/>
      <c r="AB73" s="952"/>
      <c r="AC73" s="952"/>
      <c r="AD73" s="952"/>
      <c r="AE73" s="1047"/>
    </row>
    <row r="74" spans="1:47" ht="30" customHeight="1" x14ac:dyDescent="0.3">
      <c r="A74" s="1321" t="s">
        <v>182</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2263" t="s">
        <v>924</v>
      </c>
      <c r="AA74" s="957"/>
      <c r="AB74" s="957"/>
      <c r="AC74" s="957"/>
      <c r="AD74" s="957"/>
      <c r="AE74" s="1146"/>
    </row>
    <row r="75" spans="1:47" ht="30" customHeight="1" x14ac:dyDescent="0.25">
      <c r="A75" s="1321"/>
      <c r="B75" s="2835" t="s">
        <v>555</v>
      </c>
      <c r="C75" s="2835"/>
      <c r="D75" s="2835"/>
      <c r="E75" s="2835"/>
      <c r="F75" s="2835"/>
      <c r="G75" s="2836"/>
      <c r="H75" s="2853" t="s">
        <v>155</v>
      </c>
      <c r="I75" s="2853"/>
      <c r="J75" s="2853"/>
      <c r="K75" s="2853"/>
      <c r="L75" s="2853"/>
      <c r="M75" s="2854"/>
      <c r="N75" s="2835" t="s">
        <v>155</v>
      </c>
      <c r="O75" s="2835"/>
      <c r="P75" s="2835"/>
      <c r="Q75" s="2835"/>
      <c r="R75" s="2835"/>
      <c r="S75" s="2836"/>
      <c r="T75" s="2850"/>
      <c r="U75" s="2850"/>
      <c r="V75" s="2850"/>
      <c r="W75" s="2850"/>
      <c r="X75" s="2850"/>
      <c r="Y75" s="2851"/>
      <c r="Z75" s="2260"/>
      <c r="AA75" s="952"/>
      <c r="AB75" s="952"/>
      <c r="AC75" s="952"/>
      <c r="AD75" s="952"/>
      <c r="AE75" s="1047"/>
    </row>
    <row r="76" spans="1:47" ht="30" customHeight="1" x14ac:dyDescent="0.3">
      <c r="A76" s="1105" t="s">
        <v>184</v>
      </c>
      <c r="B76" s="2837" t="s">
        <v>919</v>
      </c>
      <c r="C76" s="2837"/>
      <c r="D76" s="2837"/>
      <c r="E76" s="2837"/>
      <c r="F76" s="2837"/>
      <c r="G76" s="2838"/>
      <c r="H76" s="2856" t="s">
        <v>218</v>
      </c>
      <c r="I76" s="2857"/>
      <c r="J76" s="2857"/>
      <c r="K76" s="2857"/>
      <c r="L76" s="2857"/>
      <c r="M76" s="2858"/>
      <c r="N76" s="2855" t="s">
        <v>229</v>
      </c>
      <c r="O76" s="2837"/>
      <c r="P76" s="2837"/>
      <c r="Q76" s="2837"/>
      <c r="R76" s="2837"/>
      <c r="S76" s="2838"/>
      <c r="T76" s="2852" t="s">
        <v>228</v>
      </c>
      <c r="U76" s="2844"/>
      <c r="V76" s="2844"/>
      <c r="W76" s="2844"/>
      <c r="X76" s="2844"/>
      <c r="Y76" s="2845"/>
      <c r="Z76" s="2263" t="s">
        <v>924</v>
      </c>
      <c r="AA76" s="957"/>
      <c r="AB76" s="957"/>
      <c r="AC76" s="957"/>
      <c r="AD76" s="957"/>
      <c r="AE76" s="1146"/>
    </row>
    <row r="77" spans="1:47" ht="30" customHeight="1" x14ac:dyDescent="0.25">
      <c r="A77" s="1321"/>
      <c r="B77" s="2835" t="s">
        <v>555</v>
      </c>
      <c r="C77" s="2835"/>
      <c r="D77" s="2835"/>
      <c r="E77" s="2835"/>
      <c r="F77" s="2835"/>
      <c r="G77" s="2836"/>
      <c r="H77" s="2853" t="s">
        <v>155</v>
      </c>
      <c r="I77" s="2853"/>
      <c r="J77" s="2853"/>
      <c r="K77" s="2853"/>
      <c r="L77" s="2853"/>
      <c r="M77" s="2854"/>
      <c r="N77" s="2835" t="s">
        <v>155</v>
      </c>
      <c r="O77" s="2835"/>
      <c r="P77" s="2835"/>
      <c r="Q77" s="2835"/>
      <c r="R77" s="2835"/>
      <c r="S77" s="2836"/>
      <c r="T77" s="2850"/>
      <c r="U77" s="2850"/>
      <c r="V77" s="2850"/>
      <c r="W77" s="2850"/>
      <c r="X77" s="2850"/>
      <c r="Y77" s="2851"/>
      <c r="Z77" s="2260"/>
      <c r="AA77" s="952"/>
      <c r="AB77" s="952"/>
      <c r="AC77" s="952"/>
      <c r="AD77" s="952"/>
      <c r="AE77" s="1047"/>
    </row>
    <row r="78" spans="1:47" ht="30" customHeight="1" x14ac:dyDescent="0.3">
      <c r="A78" s="1105" t="s">
        <v>185</v>
      </c>
      <c r="B78" s="2837" t="s">
        <v>230</v>
      </c>
      <c r="C78" s="2837"/>
      <c r="D78" s="2837"/>
      <c r="E78" s="2837"/>
      <c r="F78" s="2837"/>
      <c r="G78" s="2838"/>
      <c r="H78" s="2826" t="s">
        <v>230</v>
      </c>
      <c r="I78" s="2827"/>
      <c r="J78" s="2832" t="s">
        <v>155</v>
      </c>
      <c r="K78" s="1722"/>
      <c r="L78" s="1165"/>
      <c r="M78" s="1727"/>
      <c r="N78" s="2846" t="s">
        <v>27</v>
      </c>
      <c r="O78" s="2846"/>
      <c r="P78" s="2846"/>
      <c r="Q78" s="2846"/>
      <c r="R78" s="2846"/>
      <c r="S78" s="2847"/>
      <c r="T78" s="2844" t="s">
        <v>27</v>
      </c>
      <c r="U78" s="2844"/>
      <c r="V78" s="2844"/>
      <c r="W78" s="2844"/>
      <c r="X78" s="2844"/>
      <c r="Y78" s="2845"/>
      <c r="Z78" s="2826" t="s">
        <v>1004</v>
      </c>
      <c r="AA78" s="2827"/>
      <c r="AB78" s="2832" t="s">
        <v>146</v>
      </c>
      <c r="AC78" s="1432" t="s">
        <v>914</v>
      </c>
      <c r="AD78" s="1435"/>
      <c r="AE78" s="2862"/>
    </row>
    <row r="79" spans="1:47" ht="30" customHeight="1" x14ac:dyDescent="0.25">
      <c r="A79" s="1321"/>
      <c r="B79" s="2835" t="s">
        <v>155</v>
      </c>
      <c r="C79" s="2835"/>
      <c r="D79" s="2835"/>
      <c r="E79" s="2835"/>
      <c r="F79" s="2835"/>
      <c r="G79" s="2836"/>
      <c r="H79" s="2828"/>
      <c r="I79" s="2829"/>
      <c r="J79" s="2833"/>
      <c r="K79" s="1713"/>
      <c r="L79" s="1166"/>
      <c r="M79" s="1728"/>
      <c r="N79" s="2859" t="s">
        <v>155</v>
      </c>
      <c r="O79" s="2850"/>
      <c r="P79" s="2850"/>
      <c r="Q79" s="2850"/>
      <c r="R79" s="2850"/>
      <c r="S79" s="2851"/>
      <c r="T79" s="2850" t="s">
        <v>155</v>
      </c>
      <c r="U79" s="2850"/>
      <c r="V79" s="2850"/>
      <c r="W79" s="2850"/>
      <c r="X79" s="2850"/>
      <c r="Y79" s="2851"/>
      <c r="Z79" s="2828"/>
      <c r="AA79" s="2829"/>
      <c r="AB79" s="2833"/>
      <c r="AC79" s="1433"/>
      <c r="AD79" s="1436"/>
      <c r="AE79" s="2863"/>
    </row>
    <row r="80" spans="1:47" ht="30" customHeight="1" x14ac:dyDescent="0.3">
      <c r="A80" s="1321" t="s">
        <v>186</v>
      </c>
      <c r="B80" s="2837" t="s">
        <v>230</v>
      </c>
      <c r="C80" s="2837"/>
      <c r="D80" s="2837"/>
      <c r="E80" s="2837"/>
      <c r="F80" s="2837"/>
      <c r="G80" s="2838"/>
      <c r="H80" s="2828"/>
      <c r="I80" s="2829"/>
      <c r="J80" s="2833"/>
      <c r="K80" s="1713"/>
      <c r="L80" s="1166"/>
      <c r="M80" s="1728"/>
      <c r="N80" s="2844" t="s">
        <v>27</v>
      </c>
      <c r="O80" s="2844"/>
      <c r="P80" s="2844"/>
      <c r="Q80" s="2844"/>
      <c r="R80" s="2844"/>
      <c r="S80" s="2845"/>
      <c r="T80" s="2844" t="s">
        <v>27</v>
      </c>
      <c r="U80" s="2844"/>
      <c r="V80" s="2844"/>
      <c r="W80" s="2844"/>
      <c r="X80" s="2844"/>
      <c r="Y80" s="2845"/>
      <c r="Z80" s="2828"/>
      <c r="AA80" s="2829"/>
      <c r="AB80" s="2833"/>
      <c r="AC80" s="1433"/>
      <c r="AD80" s="1436"/>
      <c r="AE80" s="2863"/>
    </row>
    <row r="81" spans="1:31" ht="30" customHeight="1" x14ac:dyDescent="0.25">
      <c r="A81" s="1321"/>
      <c r="B81" s="2835" t="s">
        <v>155</v>
      </c>
      <c r="C81" s="2835"/>
      <c r="D81" s="2835"/>
      <c r="E81" s="2835"/>
      <c r="F81" s="2835"/>
      <c r="G81" s="2836"/>
      <c r="H81" s="2830"/>
      <c r="I81" s="2831"/>
      <c r="J81" s="2834"/>
      <c r="K81" s="1714"/>
      <c r="L81" s="1397"/>
      <c r="M81" s="1729"/>
      <c r="N81" s="2859" t="s">
        <v>155</v>
      </c>
      <c r="O81" s="2850"/>
      <c r="P81" s="2850"/>
      <c r="Q81" s="2850"/>
      <c r="R81" s="2850"/>
      <c r="S81" s="2851"/>
      <c r="T81" s="2850" t="s">
        <v>155</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35" t="str">
        <f>VLOOKUP(A4,ASIGNATURAS!$A$2:$D$151, 3, FALSE)</f>
        <v>Máster en Integridad y Durabilidad de Materiales</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519</v>
      </c>
    </row>
    <row r="5" spans="1:31" s="2" customFormat="1" ht="24" customHeight="1" thickBot="1" x14ac:dyDescent="0.3">
      <c r="A5" s="24" t="s">
        <v>1</v>
      </c>
      <c r="B5" s="976" t="s">
        <v>2</v>
      </c>
      <c r="C5" s="976"/>
      <c r="D5" s="976"/>
      <c r="E5" s="976"/>
      <c r="F5" s="976"/>
      <c r="G5" s="2740"/>
      <c r="H5" s="976" t="s">
        <v>3</v>
      </c>
      <c r="I5" s="976"/>
      <c r="J5" s="976"/>
      <c r="K5" s="976"/>
      <c r="L5" s="976"/>
      <c r="M5" s="2740"/>
      <c r="N5" s="976" t="s">
        <v>135</v>
      </c>
      <c r="O5" s="976"/>
      <c r="P5" s="976"/>
      <c r="Q5" s="976"/>
      <c r="R5" s="976"/>
      <c r="S5" s="2740"/>
      <c r="T5" s="976" t="s">
        <v>4</v>
      </c>
      <c r="U5" s="976"/>
      <c r="V5" s="976"/>
      <c r="W5" s="976"/>
      <c r="X5" s="976"/>
      <c r="Y5" s="2740"/>
      <c r="Z5" s="976" t="s">
        <v>5</v>
      </c>
      <c r="AA5" s="976"/>
      <c r="AB5" s="976"/>
      <c r="AC5" s="976"/>
      <c r="AD5" s="976"/>
      <c r="AE5" s="977"/>
    </row>
    <row r="6" spans="1:31" ht="30" customHeight="1" x14ac:dyDescent="0.3">
      <c r="A6" s="1320" t="s">
        <v>534</v>
      </c>
      <c r="B6" s="1125"/>
      <c r="C6" s="1126"/>
      <c r="D6" s="1126"/>
      <c r="E6" s="1126"/>
      <c r="F6" s="1126"/>
      <c r="G6" s="1127"/>
      <c r="H6" s="1126"/>
      <c r="I6" s="1126"/>
      <c r="J6" s="1126"/>
      <c r="K6" s="1126"/>
      <c r="L6" s="1126"/>
      <c r="M6" s="1127"/>
      <c r="N6" s="1126"/>
      <c r="O6" s="1126"/>
      <c r="P6" s="1126"/>
      <c r="Q6" s="1126"/>
      <c r="R6" s="1126"/>
      <c r="S6" s="1127"/>
      <c r="T6" s="1126"/>
      <c r="U6" s="1126"/>
      <c r="V6" s="1126"/>
      <c r="W6" s="1126"/>
      <c r="X6" s="1126"/>
      <c r="Y6" s="1127"/>
      <c r="Z6" s="1126"/>
      <c r="AA6" s="1126"/>
      <c r="AB6" s="1126"/>
      <c r="AC6" s="1126"/>
      <c r="AD6" s="1126"/>
      <c r="AE6" s="1127"/>
    </row>
    <row r="7" spans="1:31" ht="30" customHeight="1" x14ac:dyDescent="0.25">
      <c r="A7" s="1321"/>
      <c r="B7" s="1069"/>
      <c r="C7" s="1070"/>
      <c r="D7" s="1070"/>
      <c r="E7" s="1070"/>
      <c r="F7" s="1070"/>
      <c r="G7" s="1071"/>
      <c r="H7" s="1070"/>
      <c r="I7" s="1070"/>
      <c r="J7" s="1070"/>
      <c r="K7" s="1070"/>
      <c r="L7" s="1070"/>
      <c r="M7" s="1071"/>
      <c r="N7" s="1070"/>
      <c r="O7" s="1070"/>
      <c r="P7" s="1070"/>
      <c r="Q7" s="1070"/>
      <c r="R7" s="1070"/>
      <c r="S7" s="1071"/>
      <c r="T7" s="1070"/>
      <c r="U7" s="1070"/>
      <c r="V7" s="1070"/>
      <c r="W7" s="1070"/>
      <c r="X7" s="1070"/>
      <c r="Y7" s="1071"/>
      <c r="Z7" s="1070"/>
      <c r="AA7" s="1070"/>
      <c r="AB7" s="1070"/>
      <c r="AC7" s="1070"/>
      <c r="AD7" s="1070"/>
      <c r="AE7" s="1071"/>
    </row>
    <row r="8" spans="1:31" ht="30" customHeight="1" x14ac:dyDescent="0.3">
      <c r="A8" s="1321" t="s">
        <v>533</v>
      </c>
      <c r="B8" s="2891" t="s">
        <v>462</v>
      </c>
      <c r="C8" s="2892"/>
      <c r="D8" s="2892"/>
      <c r="E8" s="2892"/>
      <c r="F8" s="2892"/>
      <c r="G8" s="2893"/>
      <c r="H8" s="2892" t="s">
        <v>463</v>
      </c>
      <c r="I8" s="2892"/>
      <c r="J8" s="2892"/>
      <c r="K8" s="2892"/>
      <c r="L8" s="2892"/>
      <c r="M8" s="2893"/>
      <c r="N8" s="2892" t="s">
        <v>465</v>
      </c>
      <c r="O8" s="2892"/>
      <c r="P8" s="2892"/>
      <c r="Q8" s="2892"/>
      <c r="R8" s="2892"/>
      <c r="S8" s="2893"/>
      <c r="T8" s="2892" t="s">
        <v>461</v>
      </c>
      <c r="U8" s="2892"/>
      <c r="V8" s="2892"/>
      <c r="W8" s="2892"/>
      <c r="X8" s="2892"/>
      <c r="Y8" s="2893"/>
      <c r="Z8" s="1020"/>
      <c r="AA8" s="1020"/>
      <c r="AB8" s="1020"/>
      <c r="AC8" s="1020"/>
      <c r="AD8" s="1020"/>
      <c r="AE8" s="1063"/>
    </row>
    <row r="9" spans="1:31" ht="30" customHeight="1" x14ac:dyDescent="0.25">
      <c r="A9" s="1321"/>
      <c r="B9" s="2866" t="s">
        <v>535</v>
      </c>
      <c r="C9" s="2867"/>
      <c r="D9" s="2867"/>
      <c r="E9" s="2867"/>
      <c r="F9" s="2867"/>
      <c r="G9" s="2868"/>
      <c r="H9" s="2866" t="s">
        <v>650</v>
      </c>
      <c r="I9" s="2867"/>
      <c r="J9" s="2867"/>
      <c r="K9" s="2867"/>
      <c r="L9" s="2867"/>
      <c r="M9" s="2868"/>
      <c r="N9" s="2866" t="s">
        <v>160</v>
      </c>
      <c r="O9" s="2867"/>
      <c r="P9" s="2867"/>
      <c r="Q9" s="2867"/>
      <c r="R9" s="2867"/>
      <c r="S9" s="2868"/>
      <c r="T9" s="2866" t="s">
        <v>650</v>
      </c>
      <c r="U9" s="2867"/>
      <c r="V9" s="2867"/>
      <c r="W9" s="2867"/>
      <c r="X9" s="2867"/>
      <c r="Y9" s="2868"/>
      <c r="Z9" s="1070"/>
      <c r="AA9" s="1070"/>
      <c r="AB9" s="1070"/>
      <c r="AC9" s="1070"/>
      <c r="AD9" s="1070"/>
      <c r="AE9" s="1071"/>
    </row>
    <row r="10" spans="1:31" ht="30" customHeight="1" x14ac:dyDescent="0.3">
      <c r="A10" s="1105" t="s">
        <v>530</v>
      </c>
      <c r="B10" s="994" t="s">
        <v>462</v>
      </c>
      <c r="C10" s="995"/>
      <c r="D10" s="995"/>
      <c r="E10" s="995"/>
      <c r="F10" s="995"/>
      <c r="G10" s="996"/>
      <c r="H10" s="995" t="s">
        <v>463</v>
      </c>
      <c r="I10" s="995"/>
      <c r="J10" s="995"/>
      <c r="K10" s="995"/>
      <c r="L10" s="995"/>
      <c r="M10" s="996"/>
      <c r="N10" s="995" t="s">
        <v>465</v>
      </c>
      <c r="O10" s="995"/>
      <c r="P10" s="995"/>
      <c r="Q10" s="995"/>
      <c r="R10" s="995"/>
      <c r="S10" s="996"/>
      <c r="T10" s="995" t="s">
        <v>461</v>
      </c>
      <c r="U10" s="995"/>
      <c r="V10" s="995"/>
      <c r="W10" s="995"/>
      <c r="X10" s="995"/>
      <c r="Y10" s="996"/>
      <c r="Z10" s="1020"/>
      <c r="AA10" s="1020"/>
      <c r="AB10" s="1020"/>
      <c r="AC10" s="1020"/>
      <c r="AD10" s="1020"/>
      <c r="AE10" s="1063"/>
    </row>
    <row r="11" spans="1:31" ht="30" customHeight="1" x14ac:dyDescent="0.25">
      <c r="A11" s="1321"/>
      <c r="B11" s="951" t="s">
        <v>650</v>
      </c>
      <c r="C11" s="952"/>
      <c r="D11" s="952"/>
      <c r="E11" s="952"/>
      <c r="F11" s="952"/>
      <c r="G11" s="953"/>
      <c r="H11" s="951" t="s">
        <v>650</v>
      </c>
      <c r="I11" s="952"/>
      <c r="J11" s="952"/>
      <c r="K11" s="952"/>
      <c r="L11" s="952"/>
      <c r="M11" s="953"/>
      <c r="N11" s="951" t="s">
        <v>650</v>
      </c>
      <c r="O11" s="952"/>
      <c r="P11" s="952"/>
      <c r="Q11" s="952"/>
      <c r="R11" s="952"/>
      <c r="S11" s="953"/>
      <c r="T11" s="951" t="s">
        <v>650</v>
      </c>
      <c r="U11" s="952"/>
      <c r="V11" s="952"/>
      <c r="W11" s="952"/>
      <c r="X11" s="952"/>
      <c r="Y11" s="953"/>
      <c r="Z11" s="1070"/>
      <c r="AA11" s="1070"/>
      <c r="AB11" s="1070"/>
      <c r="AC11" s="1070"/>
      <c r="AD11" s="1070"/>
      <c r="AE11" s="1071"/>
    </row>
    <row r="12" spans="1:31" ht="30" customHeight="1" x14ac:dyDescent="0.3">
      <c r="A12" s="1105" t="s">
        <v>531</v>
      </c>
      <c r="B12" s="994" t="s">
        <v>27</v>
      </c>
      <c r="C12" s="995"/>
      <c r="D12" s="995"/>
      <c r="E12" s="995"/>
      <c r="F12" s="995"/>
      <c r="G12" s="996"/>
      <c r="H12" s="1622" t="s">
        <v>537</v>
      </c>
      <c r="I12" s="1623"/>
      <c r="J12" s="1623"/>
      <c r="K12" s="1623"/>
      <c r="L12" s="1623"/>
      <c r="M12" s="1624"/>
      <c r="N12" s="995" t="s">
        <v>464</v>
      </c>
      <c r="O12" s="995"/>
      <c r="P12" s="995"/>
      <c r="Q12" s="995"/>
      <c r="R12" s="995"/>
      <c r="S12" s="996"/>
      <c r="T12" s="1020"/>
      <c r="U12" s="1020"/>
      <c r="V12" s="1020"/>
      <c r="W12" s="1020"/>
      <c r="X12" s="1020"/>
      <c r="Y12" s="1063"/>
      <c r="Z12" s="1020"/>
      <c r="AA12" s="1020"/>
      <c r="AB12" s="1020"/>
      <c r="AC12" s="1020"/>
      <c r="AD12" s="1020"/>
      <c r="AE12" s="1063"/>
    </row>
    <row r="13" spans="1:31" ht="30" customHeight="1" x14ac:dyDescent="0.25">
      <c r="A13" s="1321"/>
      <c r="B13" s="951" t="s">
        <v>650</v>
      </c>
      <c r="C13" s="952"/>
      <c r="D13" s="952"/>
      <c r="E13" s="952"/>
      <c r="F13" s="952"/>
      <c r="G13" s="953"/>
      <c r="H13" s="951" t="s">
        <v>650</v>
      </c>
      <c r="I13" s="952"/>
      <c r="J13" s="952"/>
      <c r="K13" s="952"/>
      <c r="L13" s="952"/>
      <c r="M13" s="953"/>
      <c r="N13" s="951" t="s">
        <v>650</v>
      </c>
      <c r="O13" s="952"/>
      <c r="P13" s="952"/>
      <c r="Q13" s="952"/>
      <c r="R13" s="952"/>
      <c r="S13" s="953"/>
      <c r="T13" s="1070"/>
      <c r="U13" s="1070"/>
      <c r="V13" s="1070"/>
      <c r="W13" s="1070"/>
      <c r="X13" s="1070"/>
      <c r="Y13" s="1071"/>
      <c r="Z13" s="1070"/>
      <c r="AA13" s="1070"/>
      <c r="AB13" s="1070"/>
      <c r="AC13" s="1070"/>
      <c r="AD13" s="1070"/>
      <c r="AE13" s="1071"/>
    </row>
    <row r="14" spans="1:31" ht="30" customHeight="1" x14ac:dyDescent="0.3">
      <c r="A14" s="1105" t="s">
        <v>532</v>
      </c>
      <c r="B14" s="2891" t="s">
        <v>27</v>
      </c>
      <c r="C14" s="2892"/>
      <c r="D14" s="2892"/>
      <c r="E14" s="2892"/>
      <c r="F14" s="2892"/>
      <c r="G14" s="2893"/>
      <c r="H14" s="2892" t="s">
        <v>537</v>
      </c>
      <c r="I14" s="2892"/>
      <c r="J14" s="2892"/>
      <c r="K14" s="2892"/>
      <c r="L14" s="2892"/>
      <c r="M14" s="2893"/>
      <c r="N14" s="2892" t="s">
        <v>464</v>
      </c>
      <c r="O14" s="2892"/>
      <c r="P14" s="2892"/>
      <c r="Q14" s="2892"/>
      <c r="R14" s="2892"/>
      <c r="S14" s="2893"/>
      <c r="T14" s="1020"/>
      <c r="U14" s="1020"/>
      <c r="V14" s="1020"/>
      <c r="W14" s="1020"/>
      <c r="X14" s="1020"/>
      <c r="Y14" s="1063"/>
      <c r="Z14" s="999"/>
      <c r="AA14" s="999"/>
      <c r="AB14" s="999"/>
      <c r="AC14" s="999"/>
      <c r="AD14" s="999"/>
      <c r="AE14" s="1000"/>
    </row>
    <row r="15" spans="1:31" ht="30" customHeight="1" thickBot="1" x14ac:dyDescent="0.3">
      <c r="A15" s="1338"/>
      <c r="B15" s="2884" t="s">
        <v>160</v>
      </c>
      <c r="C15" s="2885"/>
      <c r="D15" s="2885"/>
      <c r="E15" s="2885"/>
      <c r="F15" s="2885"/>
      <c r="G15" s="2886"/>
      <c r="H15" s="2884" t="s">
        <v>535</v>
      </c>
      <c r="I15" s="2885"/>
      <c r="J15" s="2885"/>
      <c r="K15" s="2885"/>
      <c r="L15" s="2885"/>
      <c r="M15" s="2886"/>
      <c r="N15" s="2884" t="s">
        <v>160</v>
      </c>
      <c r="O15" s="2885"/>
      <c r="P15" s="2885"/>
      <c r="Q15" s="2885"/>
      <c r="R15" s="2885"/>
      <c r="S15" s="2886"/>
      <c r="T15" s="1143"/>
      <c r="U15" s="1143"/>
      <c r="V15" s="1143"/>
      <c r="W15" s="1143"/>
      <c r="X15" s="1143"/>
      <c r="Y15" s="1144"/>
      <c r="Z15" s="1143"/>
      <c r="AA15" s="1143"/>
      <c r="AB15" s="1143"/>
      <c r="AC15" s="1143"/>
      <c r="AD15" s="1143"/>
      <c r="AE15" s="1144"/>
    </row>
    <row r="16" spans="1:31" ht="41.25" customHeight="1" thickBot="1" x14ac:dyDescent="0.3"/>
    <row r="17" spans="1:31" ht="18.75" customHeight="1" thickBot="1" x14ac:dyDescent="0.3">
      <c r="A17" s="1033" t="s">
        <v>214</v>
      </c>
      <c r="B17" s="935"/>
      <c r="C17" s="934" t="s">
        <v>215</v>
      </c>
      <c r="D17" s="934"/>
      <c r="E17" s="934"/>
      <c r="F17" s="934"/>
      <c r="G17" s="934"/>
      <c r="H17" s="934"/>
      <c r="I17" s="934"/>
      <c r="J17" s="934"/>
      <c r="K17" s="934"/>
      <c r="L17" s="58"/>
      <c r="M17" s="1034" t="s">
        <v>522</v>
      </c>
      <c r="N17" s="1035"/>
      <c r="O17" s="934" t="s">
        <v>139</v>
      </c>
      <c r="P17" s="935"/>
      <c r="Q17" s="934" t="s">
        <v>163</v>
      </c>
      <c r="R17" s="934"/>
      <c r="S17" s="934"/>
      <c r="T17" s="934"/>
      <c r="U17" s="934"/>
      <c r="V17" s="934"/>
      <c r="W17" s="934"/>
      <c r="X17" s="934"/>
      <c r="Y17" s="934"/>
      <c r="Z17" s="934"/>
      <c r="AA17" s="934"/>
      <c r="AB17" s="934"/>
      <c r="AC17" s="934"/>
      <c r="AD17" s="934"/>
      <c r="AE17" s="935"/>
    </row>
    <row r="18" spans="1:31" ht="13.8" x14ac:dyDescent="0.25">
      <c r="A18" s="1036" t="str">
        <f>VLOOKUP(M18,ASIGNATURAS!$F$1:$L$1022, 3, FALSE)</f>
        <v>MATERIALES</v>
      </c>
      <c r="B18" s="1037"/>
      <c r="C18" s="1056" t="str">
        <f>VLOOKUP(M18,ASIGNATURAS!$F$1:$L$1022, 4, FALSE)</f>
        <v>Materiales Estructurales</v>
      </c>
      <c r="D18" s="1057"/>
      <c r="E18" s="1057"/>
      <c r="F18" s="1057"/>
      <c r="G18" s="1057"/>
      <c r="H18" s="1057"/>
      <c r="I18" s="1057"/>
      <c r="J18" s="1057"/>
      <c r="K18" s="1057"/>
      <c r="L18" s="1058"/>
      <c r="M18" s="1028">
        <v>7101</v>
      </c>
      <c r="N18" s="1029"/>
      <c r="O18" s="1028">
        <f>VLOOKUP(M18,ASIGNATURAS!$F$1:$L$1022, 5, FALSE)</f>
        <v>4</v>
      </c>
      <c r="P18" s="1029"/>
      <c r="Q18" s="1056" t="str">
        <f>VLOOKUP(M18,ASIGNATURAS!$F$1:$L$1022, 6, FALSE)</f>
        <v>Fco. Javier Belzunce (UNIOVI), Monica Preciado (UBU)</v>
      </c>
      <c r="R18" s="1057"/>
      <c r="S18" s="1057"/>
      <c r="T18" s="1057"/>
      <c r="U18" s="1057"/>
      <c r="V18" s="1057"/>
      <c r="W18" s="1057"/>
      <c r="X18" s="1057"/>
      <c r="Y18" s="1057"/>
      <c r="Z18" s="1057"/>
      <c r="AA18" s="1057"/>
      <c r="AB18" s="1057"/>
      <c r="AC18" s="1057"/>
      <c r="AD18" s="1057"/>
      <c r="AE18" s="1058"/>
    </row>
    <row r="19" spans="1:31" ht="13.8" x14ac:dyDescent="0.25">
      <c r="A19" s="1188" t="str">
        <f>VLOOKUP(M19,ASIGNATURAS!$F$1:$L$1022, 3, FALSE)</f>
        <v>ELAST-PLAS</v>
      </c>
      <c r="B19" s="1189"/>
      <c r="C19" s="981" t="str">
        <f>VLOOKUP(M19,ASIGNATURAS!$F$1:$L$1022, 4, FALSE)</f>
        <v>Teoría de la Elasticidad y Plasticidad</v>
      </c>
      <c r="D19" s="982"/>
      <c r="E19" s="982"/>
      <c r="F19" s="982"/>
      <c r="G19" s="982"/>
      <c r="H19" s="982"/>
      <c r="I19" s="982"/>
      <c r="J19" s="982"/>
      <c r="K19" s="982"/>
      <c r="L19" s="983"/>
      <c r="M19" s="936">
        <v>7102</v>
      </c>
      <c r="N19" s="937"/>
      <c r="O19" s="936">
        <f>VLOOKUP(M19,ASIGNATURAS!$F$1:$L$1022, 5, FALSE)</f>
        <v>4</v>
      </c>
      <c r="P19" s="937"/>
      <c r="Q19" s="981" t="str">
        <f>VLOOKUP(M19,ASIGNATURAS!$F$1:$L$1022, 6, FALSE)</f>
        <v>Wilco Verbeeten (UBU)</v>
      </c>
      <c r="R19" s="982"/>
      <c r="S19" s="982"/>
      <c r="T19" s="982"/>
      <c r="U19" s="982"/>
      <c r="V19" s="982"/>
      <c r="W19" s="982"/>
      <c r="X19" s="982"/>
      <c r="Y19" s="982"/>
      <c r="Z19" s="982"/>
      <c r="AA19" s="982"/>
      <c r="AB19" s="982"/>
      <c r="AC19" s="982"/>
      <c r="AD19" s="982"/>
      <c r="AE19" s="983"/>
    </row>
    <row r="20" spans="1:31" ht="13.8" x14ac:dyDescent="0.25">
      <c r="A20" s="1188" t="str">
        <f>VLOOKUP(M20,ASIGNATURAS!$F$1:$L$1022, 3, FALSE)</f>
        <v>FRACTURA</v>
      </c>
      <c r="B20" s="1189"/>
      <c r="C20" s="981" t="str">
        <f>VLOOKUP(M20,ASIGNATURAS!$F$1:$L$1022, 4, FALSE)</f>
        <v>Mecánica de la Fractura</v>
      </c>
      <c r="D20" s="982"/>
      <c r="E20" s="982"/>
      <c r="F20" s="982"/>
      <c r="G20" s="982"/>
      <c r="H20" s="982"/>
      <c r="I20" s="982"/>
      <c r="J20" s="982"/>
      <c r="K20" s="982"/>
      <c r="L20" s="983"/>
      <c r="M20" s="936">
        <v>7103</v>
      </c>
      <c r="N20" s="937"/>
      <c r="O20" s="936">
        <f>VLOOKUP(M20,ASIGNATURAS!$F$1:$L$1022, 5, FALSE)</f>
        <v>4</v>
      </c>
      <c r="P20" s="937"/>
      <c r="Q20" s="981" t="str">
        <f>VLOOKUP(M20,ASIGNATURAS!$F$1:$L$1022, 6, FALSE)</f>
        <v xml:space="preserve"> Covadonga Betegón Biempica (UNIOVI), Ivan Cuesta Segura (UBU)</v>
      </c>
      <c r="R20" s="982"/>
      <c r="S20" s="982"/>
      <c r="T20" s="982"/>
      <c r="U20" s="982"/>
      <c r="V20" s="982"/>
      <c r="W20" s="982"/>
      <c r="X20" s="982"/>
      <c r="Y20" s="982"/>
      <c r="Z20" s="982"/>
      <c r="AA20" s="982"/>
      <c r="AB20" s="982"/>
      <c r="AC20" s="982"/>
      <c r="AD20" s="982"/>
      <c r="AE20" s="983"/>
    </row>
    <row r="21" spans="1:31" ht="13.8" x14ac:dyDescent="0.25">
      <c r="A21" s="1188" t="str">
        <f>VLOOKUP(M21,ASIGNATURAS!$F$1:$L$1022, 3, FALSE)</f>
        <v>FATIGA</v>
      </c>
      <c r="B21" s="1189"/>
      <c r="C21" s="981" t="str">
        <f>VLOOKUP(M21,ASIGNATURAS!$F$1:$L$1022, 4, FALSE)</f>
        <v>Fatiga, Corrosión Bajo Tensión y Fluencia</v>
      </c>
      <c r="D21" s="982"/>
      <c r="E21" s="982"/>
      <c r="F21" s="982"/>
      <c r="G21" s="982"/>
      <c r="H21" s="982"/>
      <c r="I21" s="982"/>
      <c r="J21" s="982"/>
      <c r="K21" s="982"/>
      <c r="L21" s="983"/>
      <c r="M21" s="936">
        <v>7104</v>
      </c>
      <c r="N21" s="937"/>
      <c r="O21" s="936">
        <f>VLOOKUP(M21,ASIGNATURAS!$F$1:$L$1022, 5, FALSE)</f>
        <v>4</v>
      </c>
      <c r="P21" s="937"/>
      <c r="Q21" s="981" t="str">
        <f>VLOOKUP(M21,ASIGNATURAS!$F$1:$L$1022, 6, FALSE)</f>
        <v>Jose Alberto Alvarez (UNICAN), Jesús Manuel Alegre (UBU)</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CORROSIÓN</v>
      </c>
      <c r="B22" s="1189"/>
      <c r="C22" s="981" t="str">
        <f>VLOOKUP(M22,ASIGNATURAS!$F$1:$L$1022, 4, FALSE)</f>
        <v>Corrosión, Oxidación, Desgaste y Protección</v>
      </c>
      <c r="D22" s="982"/>
      <c r="E22" s="982"/>
      <c r="F22" s="982"/>
      <c r="G22" s="982"/>
      <c r="H22" s="982"/>
      <c r="I22" s="982"/>
      <c r="J22" s="982"/>
      <c r="K22" s="982"/>
      <c r="L22" s="983"/>
      <c r="M22" s="936">
        <v>7105</v>
      </c>
      <c r="N22" s="937"/>
      <c r="O22" s="936">
        <f>VLOOKUP(M22,ASIGNATURAS!$F$1:$L$1022, 5, FALSE)</f>
        <v>4</v>
      </c>
      <c r="P22" s="937"/>
      <c r="Q22" s="981" t="str">
        <f>VLOOKUP(M22,ASIGNATURAS!$F$1:$L$1022, 6, FALSE)</f>
        <v>Pedro Bravo Diez (UBU)</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SOLDADURA</v>
      </c>
      <c r="B23" s="1189"/>
      <c r="C23" s="981" t="str">
        <f>VLOOKUP(M23,ASIGNATURAS!$F$1:$L$1022, 4, FALSE)</f>
        <v>Soldadura y Tecnologías de Unión</v>
      </c>
      <c r="D23" s="982"/>
      <c r="E23" s="982"/>
      <c r="F23" s="982"/>
      <c r="G23" s="982"/>
      <c r="H23" s="982"/>
      <c r="I23" s="982"/>
      <c r="J23" s="982"/>
      <c r="K23" s="982"/>
      <c r="L23" s="983"/>
      <c r="M23" s="936">
        <v>7108</v>
      </c>
      <c r="N23" s="937"/>
      <c r="O23" s="936">
        <f>VLOOKUP(M23,ASIGNATURAS!$F$1:$L$1022, 5, FALSE)</f>
        <v>4</v>
      </c>
      <c r="P23" s="937"/>
      <c r="Q23" s="981" t="str">
        <f>VLOOKUP(M23,ASIGNATURAS!$F$1:$L$1022, 6, FALSE)</f>
        <v>Cristina Rodriguez (UNIOVI), Monica Preciado (UBU)</v>
      </c>
      <c r="R23" s="982"/>
      <c r="S23" s="982"/>
      <c r="T23" s="982"/>
      <c r="U23" s="982"/>
      <c r="V23" s="982"/>
      <c r="W23" s="982"/>
      <c r="X23" s="982"/>
      <c r="Y23" s="982"/>
      <c r="Z23" s="982"/>
      <c r="AA23" s="982"/>
      <c r="AB23" s="982"/>
      <c r="AC23" s="982"/>
      <c r="AD23" s="982"/>
      <c r="AE23" s="983"/>
    </row>
    <row r="24" spans="1:31" ht="13.8" x14ac:dyDescent="0.25">
      <c r="A24" s="1188" t="str">
        <f>VLOOKUP(M24,ASIGNATURAS!$F$1:$L$1022, 3, FALSE)</f>
        <v>SIMULACIÓN NÚMERICA</v>
      </c>
      <c r="B24" s="1189"/>
      <c r="C24" s="981" t="str">
        <f>VLOOKUP(M24,ASIGNATURAS!$F$1:$L$1022, 4, FALSE)</f>
        <v>Simulación Numérica de Mat, Comp y Est.</v>
      </c>
      <c r="D24" s="982"/>
      <c r="E24" s="982"/>
      <c r="F24" s="982"/>
      <c r="G24" s="982"/>
      <c r="H24" s="982"/>
      <c r="I24" s="982"/>
      <c r="J24" s="982"/>
      <c r="K24" s="982"/>
      <c r="L24" s="983"/>
      <c r="M24" s="936">
        <v>7106</v>
      </c>
      <c r="N24" s="937"/>
      <c r="O24" s="936">
        <f>VLOOKUP(M24,ASIGNATURAS!$F$1:$L$1022, 5, FALSE)</f>
        <v>4</v>
      </c>
      <c r="P24" s="937"/>
      <c r="Q24" s="981" t="str">
        <f>VLOOKUP(M24,ASIGNATURAS!$F$1:$L$1022, 6, FALSE)</f>
        <v>Ivan Cuesta Segura (UBU)</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1005</v>
      </c>
      <c r="B27" s="2735"/>
      <c r="C27" s="2735"/>
      <c r="D27" s="2736"/>
    </row>
    <row r="28" spans="1:31" ht="24" customHeight="1" thickBot="1" x14ac:dyDescent="0.3">
      <c r="A28" s="2737" t="s">
        <v>1006</v>
      </c>
      <c r="B28" s="2738"/>
      <c r="C28" s="2738"/>
      <c r="D28" s="2739"/>
    </row>
    <row r="29" spans="1:31" x14ac:dyDescent="0.25">
      <c r="AC29" s="2890"/>
      <c r="AD29" s="2890"/>
      <c r="AE29" s="2890"/>
    </row>
    <row r="30" spans="1:31" x14ac:dyDescent="0.25">
      <c r="A30" s="25" t="s">
        <v>213</v>
      </c>
    </row>
    <row r="31" spans="1:31" ht="13.8" thickBot="1" x14ac:dyDescent="0.3">
      <c r="A31" s="25"/>
    </row>
    <row r="32" spans="1:31" s="1" customFormat="1" ht="31.5" customHeight="1" thickBot="1" x14ac:dyDescent="0.45">
      <c r="A32" s="1135" t="str">
        <f>VLOOKUP(A35,ASIGNATURAS!$A$2:$D$151, 3, FALSE)</f>
        <v>Máster en Integridad y Durabilidad de Materiales</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2"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c r="AA33" s="1013"/>
      <c r="AB33" s="1013"/>
      <c r="AC33" s="1013"/>
      <c r="AD33" s="1013"/>
      <c r="AE33" s="1014"/>
    </row>
    <row r="34" spans="1:32"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2" ht="38.25" customHeight="1" thickBot="1" x14ac:dyDescent="0.3">
      <c r="A35" s="23" t="s">
        <v>520</v>
      </c>
    </row>
    <row r="36" spans="1:32"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2" ht="30" customHeight="1" x14ac:dyDescent="0.3">
      <c r="A37" s="1320" t="s">
        <v>534</v>
      </c>
      <c r="B37" s="1125"/>
      <c r="C37" s="1126"/>
      <c r="D37" s="1126"/>
      <c r="E37" s="1126"/>
      <c r="F37" s="1126"/>
      <c r="G37" s="1127"/>
      <c r="H37" s="1125"/>
      <c r="I37" s="1126"/>
      <c r="J37" s="1126"/>
      <c r="K37" s="1126"/>
      <c r="L37" s="1126"/>
      <c r="M37" s="1127"/>
      <c r="N37" s="1125"/>
      <c r="O37" s="1126"/>
      <c r="P37" s="1126"/>
      <c r="Q37" s="1126"/>
      <c r="R37" s="1126"/>
      <c r="S37" s="1127"/>
      <c r="T37" s="1126"/>
      <c r="U37" s="1126"/>
      <c r="V37" s="1126"/>
      <c r="W37" s="1126"/>
      <c r="X37" s="1126"/>
      <c r="Y37" s="1127"/>
      <c r="Z37" s="1126"/>
      <c r="AA37" s="1126"/>
      <c r="AB37" s="1126"/>
      <c r="AC37" s="1126"/>
      <c r="AD37" s="1126"/>
      <c r="AE37" s="1127"/>
    </row>
    <row r="38" spans="1:32" ht="30" customHeight="1" x14ac:dyDescent="0.25">
      <c r="A38" s="1321"/>
      <c r="B38" s="1129"/>
      <c r="C38" s="1130"/>
      <c r="D38" s="1130"/>
      <c r="E38" s="1130"/>
      <c r="F38" s="1130"/>
      <c r="G38" s="1131"/>
      <c r="H38" s="1129"/>
      <c r="I38" s="1130"/>
      <c r="J38" s="1130"/>
      <c r="K38" s="1130"/>
      <c r="L38" s="1130"/>
      <c r="M38" s="1131"/>
      <c r="N38" s="1129"/>
      <c r="O38" s="1130"/>
      <c r="P38" s="1130"/>
      <c r="Q38" s="1130"/>
      <c r="R38" s="1130"/>
      <c r="S38" s="1131"/>
      <c r="T38" s="1130"/>
      <c r="U38" s="1130"/>
      <c r="V38" s="1130"/>
      <c r="W38" s="1130"/>
      <c r="X38" s="1130"/>
      <c r="Y38" s="1131"/>
      <c r="Z38" s="1069"/>
      <c r="AA38" s="1070"/>
      <c r="AB38" s="1070"/>
      <c r="AC38" s="1070"/>
      <c r="AD38" s="1070"/>
      <c r="AE38" s="1071"/>
    </row>
    <row r="39" spans="1:32" ht="30" customHeight="1" x14ac:dyDescent="0.3">
      <c r="A39" s="1321" t="s">
        <v>533</v>
      </c>
      <c r="B39" s="2869" t="s">
        <v>536</v>
      </c>
      <c r="C39" s="2870"/>
      <c r="D39" s="2870"/>
      <c r="E39" s="2870"/>
      <c r="F39" s="2870"/>
      <c r="G39" s="2871"/>
      <c r="H39" s="2869" t="s">
        <v>472</v>
      </c>
      <c r="I39" s="2870"/>
      <c r="J39" s="2870"/>
      <c r="K39" s="2870"/>
      <c r="L39" s="2870"/>
      <c r="M39" s="2871"/>
      <c r="N39" s="2869" t="s">
        <v>911</v>
      </c>
      <c r="O39" s="2870"/>
      <c r="P39" s="2870"/>
      <c r="Q39" s="2870"/>
      <c r="R39" s="2870"/>
      <c r="S39" s="2871"/>
      <c r="T39" s="2887" t="s">
        <v>929</v>
      </c>
      <c r="U39" s="2888"/>
      <c r="V39" s="2888"/>
      <c r="W39" s="2888"/>
      <c r="X39" s="2888"/>
      <c r="Y39" s="2889"/>
      <c r="Z39" s="1020"/>
      <c r="AA39" s="1020"/>
      <c r="AB39" s="1020"/>
      <c r="AC39" s="1020"/>
      <c r="AD39" s="1020"/>
      <c r="AE39" s="1063"/>
    </row>
    <row r="40" spans="1:32" ht="30" customHeight="1" x14ac:dyDescent="0.25">
      <c r="A40" s="1321"/>
      <c r="B40" s="2866" t="s">
        <v>619</v>
      </c>
      <c r="C40" s="2867"/>
      <c r="D40" s="2867"/>
      <c r="E40" s="2867"/>
      <c r="F40" s="2867"/>
      <c r="G40" s="2868"/>
      <c r="H40" s="2872" t="s">
        <v>619</v>
      </c>
      <c r="I40" s="2873"/>
      <c r="J40" s="2873"/>
      <c r="K40" s="2873"/>
      <c r="L40" s="2873"/>
      <c r="M40" s="2874"/>
      <c r="N40" s="2866" t="s">
        <v>160</v>
      </c>
      <c r="O40" s="2867"/>
      <c r="P40" s="2867"/>
      <c r="Q40" s="2867"/>
      <c r="R40" s="2867"/>
      <c r="S40" s="2868"/>
      <c r="T40" s="2866" t="s">
        <v>160</v>
      </c>
      <c r="U40" s="2867"/>
      <c r="V40" s="2867"/>
      <c r="W40" s="2867"/>
      <c r="X40" s="2867"/>
      <c r="Y40" s="2868"/>
      <c r="Z40" s="1070"/>
      <c r="AA40" s="1070"/>
      <c r="AB40" s="1070"/>
      <c r="AC40" s="1070"/>
      <c r="AD40" s="1070"/>
      <c r="AE40" s="1071"/>
    </row>
    <row r="41" spans="1:32" ht="30" customHeight="1" x14ac:dyDescent="0.25">
      <c r="A41" s="1105" t="s">
        <v>530</v>
      </c>
      <c r="B41" s="1641" t="s">
        <v>536</v>
      </c>
      <c r="C41" s="1642"/>
      <c r="D41" s="1642"/>
      <c r="E41" s="1642"/>
      <c r="F41" s="1642"/>
      <c r="G41" s="1643"/>
      <c r="H41" s="2869" t="s">
        <v>472</v>
      </c>
      <c r="I41" s="2870"/>
      <c r="J41" s="2870"/>
      <c r="K41" s="2870"/>
      <c r="L41" s="2870"/>
      <c r="M41" s="2871"/>
      <c r="N41" s="1641" t="s">
        <v>911</v>
      </c>
      <c r="O41" s="1642"/>
      <c r="P41" s="1642"/>
      <c r="Q41" s="1642"/>
      <c r="R41" s="1642"/>
      <c r="S41" s="1643"/>
      <c r="T41" s="1641" t="s">
        <v>929</v>
      </c>
      <c r="U41" s="1642"/>
      <c r="V41" s="1642"/>
      <c r="W41" s="1642"/>
      <c r="X41" s="1642"/>
      <c r="Y41" s="1643"/>
      <c r="AF41" s="33"/>
    </row>
    <row r="42" spans="1:32" ht="30" customHeight="1" x14ac:dyDescent="0.25">
      <c r="A42" s="1321"/>
      <c r="B42" s="2878" t="s">
        <v>650</v>
      </c>
      <c r="C42" s="2879"/>
      <c r="D42" s="2879"/>
      <c r="E42" s="2879"/>
      <c r="F42" s="2879"/>
      <c r="G42" s="2880"/>
      <c r="H42" s="2872" t="s">
        <v>619</v>
      </c>
      <c r="I42" s="2873"/>
      <c r="J42" s="2873"/>
      <c r="K42" s="2873"/>
      <c r="L42" s="2873"/>
      <c r="M42" s="2874"/>
      <c r="N42" s="2878" t="s">
        <v>650</v>
      </c>
      <c r="O42" s="2879"/>
      <c r="P42" s="2879"/>
      <c r="Q42" s="2879"/>
      <c r="R42" s="2879"/>
      <c r="S42" s="2880"/>
      <c r="T42" s="2878" t="s">
        <v>650</v>
      </c>
      <c r="U42" s="2879"/>
      <c r="V42" s="2879"/>
      <c r="W42" s="2879"/>
      <c r="X42" s="2879"/>
      <c r="Y42" s="2880"/>
    </row>
    <row r="43" spans="1:32" ht="30" customHeight="1" x14ac:dyDescent="0.3">
      <c r="A43" s="1105" t="s">
        <v>531</v>
      </c>
      <c r="B43" s="1641" t="s">
        <v>536</v>
      </c>
      <c r="C43" s="1642"/>
      <c r="D43" s="1642"/>
      <c r="E43" s="1642"/>
      <c r="F43" s="1642"/>
      <c r="G43" s="1643"/>
      <c r="H43" s="2869" t="s">
        <v>472</v>
      </c>
      <c r="I43" s="2870"/>
      <c r="J43" s="2870"/>
      <c r="K43" s="2870"/>
      <c r="L43" s="2870"/>
      <c r="M43" s="2871"/>
      <c r="N43" s="1641" t="s">
        <v>911</v>
      </c>
      <c r="O43" s="1642"/>
      <c r="P43" s="1642"/>
      <c r="Q43" s="1642"/>
      <c r="R43" s="1642"/>
      <c r="S43" s="1643"/>
      <c r="T43" s="1641" t="s">
        <v>929</v>
      </c>
      <c r="U43" s="1642"/>
      <c r="V43" s="1642"/>
      <c r="W43" s="1642"/>
      <c r="X43" s="1642"/>
      <c r="Y43" s="1643"/>
      <c r="Z43" s="1062"/>
      <c r="AA43" s="1020"/>
      <c r="AB43" s="1020"/>
      <c r="AC43" s="1020"/>
      <c r="AD43" s="1020"/>
      <c r="AE43" s="1063"/>
    </row>
    <row r="44" spans="1:32" ht="30" customHeight="1" x14ac:dyDescent="0.25">
      <c r="A44" s="1321"/>
      <c r="B44" s="2878" t="s">
        <v>650</v>
      </c>
      <c r="C44" s="2879"/>
      <c r="D44" s="2879"/>
      <c r="E44" s="2879"/>
      <c r="F44" s="2879"/>
      <c r="G44" s="2880"/>
      <c r="H44" s="2866" t="s">
        <v>619</v>
      </c>
      <c r="I44" s="2867"/>
      <c r="J44" s="2867"/>
      <c r="K44" s="2867"/>
      <c r="L44" s="2867"/>
      <c r="M44" s="2868"/>
      <c r="N44" s="2878" t="s">
        <v>650</v>
      </c>
      <c r="O44" s="2879"/>
      <c r="P44" s="2879"/>
      <c r="Q44" s="2879"/>
      <c r="R44" s="2879"/>
      <c r="S44" s="2880"/>
      <c r="T44" s="2878" t="s">
        <v>650</v>
      </c>
      <c r="U44" s="2879"/>
      <c r="V44" s="2879"/>
      <c r="W44" s="2879"/>
      <c r="X44" s="2879"/>
      <c r="Y44" s="2880"/>
      <c r="Z44" s="1130"/>
      <c r="AA44" s="1130"/>
      <c r="AB44" s="1130"/>
      <c r="AC44" s="1130"/>
      <c r="AD44" s="1130"/>
      <c r="AE44" s="1131"/>
    </row>
    <row r="45" spans="1:32" ht="30" customHeight="1" x14ac:dyDescent="0.3">
      <c r="A45" s="1105" t="s">
        <v>532</v>
      </c>
      <c r="B45" s="2869" t="s">
        <v>536</v>
      </c>
      <c r="C45" s="2870"/>
      <c r="D45" s="2870"/>
      <c r="E45" s="2870"/>
      <c r="F45" s="2870"/>
      <c r="G45" s="2871"/>
      <c r="H45" s="2875" t="s">
        <v>472</v>
      </c>
      <c r="I45" s="2876"/>
      <c r="J45" s="2876"/>
      <c r="K45" s="2876"/>
      <c r="L45" s="2876"/>
      <c r="M45" s="2877"/>
      <c r="N45" s="2869" t="s">
        <v>911</v>
      </c>
      <c r="O45" s="2870"/>
      <c r="P45" s="2870"/>
      <c r="Q45" s="2870"/>
      <c r="R45" s="2870"/>
      <c r="S45" s="2871"/>
      <c r="T45" s="2881" t="s">
        <v>929</v>
      </c>
      <c r="U45" s="2882"/>
      <c r="V45" s="2882"/>
      <c r="W45" s="2882"/>
      <c r="X45" s="2882"/>
      <c r="Y45" s="2883"/>
      <c r="Z45" s="1062"/>
      <c r="AA45" s="1020"/>
      <c r="AB45" s="1020"/>
      <c r="AC45" s="1020"/>
      <c r="AD45" s="1020"/>
      <c r="AE45" s="1063"/>
    </row>
    <row r="46" spans="1:32" ht="30" customHeight="1" thickBot="1" x14ac:dyDescent="0.3">
      <c r="A46" s="1338"/>
      <c r="B46" s="2884" t="s">
        <v>619</v>
      </c>
      <c r="C46" s="2885"/>
      <c r="D46" s="2885"/>
      <c r="E46" s="2885"/>
      <c r="F46" s="2885"/>
      <c r="G46" s="2886"/>
      <c r="H46" s="2884" t="s">
        <v>619</v>
      </c>
      <c r="I46" s="2885"/>
      <c r="J46" s="2885"/>
      <c r="K46" s="2885"/>
      <c r="L46" s="2885"/>
      <c r="M46" s="2886"/>
      <c r="N46" s="2884" t="s">
        <v>160</v>
      </c>
      <c r="O46" s="2885"/>
      <c r="P46" s="2885"/>
      <c r="Q46" s="2885"/>
      <c r="R46" s="2885"/>
      <c r="S46" s="2886"/>
      <c r="T46" s="2884" t="s">
        <v>160</v>
      </c>
      <c r="U46" s="2885"/>
      <c r="V46" s="2885"/>
      <c r="W46" s="2885"/>
      <c r="X46" s="2885"/>
      <c r="Y46" s="2886"/>
      <c r="Z46" s="1143"/>
      <c r="AA46" s="1143"/>
      <c r="AB46" s="1143"/>
      <c r="AC46" s="1143"/>
      <c r="AD46" s="1143"/>
      <c r="AE46" s="1144"/>
    </row>
    <row r="47" spans="1:32" ht="41.25" customHeight="1" thickBot="1" x14ac:dyDescent="0.3">
      <c r="I47" s="35"/>
      <c r="J47" s="35"/>
      <c r="L47" s="35"/>
      <c r="P47" s="35"/>
    </row>
    <row r="48" spans="1:32" ht="18.75" customHeight="1" thickBot="1" x14ac:dyDescent="0.3">
      <c r="A48" s="1033" t="s">
        <v>214</v>
      </c>
      <c r="B48" s="935"/>
      <c r="C48" s="934" t="s">
        <v>215</v>
      </c>
      <c r="D48" s="934"/>
      <c r="E48" s="934"/>
      <c r="F48" s="934"/>
      <c r="G48" s="934"/>
      <c r="H48" s="934"/>
      <c r="I48" s="934"/>
      <c r="J48" s="934"/>
      <c r="K48" s="934"/>
      <c r="L48" s="58"/>
      <c r="M48" s="1034" t="s">
        <v>523</v>
      </c>
      <c r="N48" s="1035"/>
      <c r="O48" s="934" t="s">
        <v>139</v>
      </c>
      <c r="P48" s="935"/>
      <c r="Q48" s="934" t="s">
        <v>163</v>
      </c>
      <c r="R48" s="934"/>
      <c r="S48" s="934"/>
      <c r="T48" s="934"/>
      <c r="U48" s="934"/>
      <c r="V48" s="934"/>
      <c r="W48" s="934"/>
      <c r="X48" s="934"/>
      <c r="Y48" s="934"/>
      <c r="Z48" s="934"/>
      <c r="AA48" s="934"/>
      <c r="AB48" s="934"/>
      <c r="AC48" s="934"/>
      <c r="AD48" s="934"/>
      <c r="AE48" s="935"/>
    </row>
    <row r="49" spans="1:31" ht="13.8" x14ac:dyDescent="0.25">
      <c r="A49" s="1036" t="str">
        <f>VLOOKUP(M49,ASIGNATURAS!$F$1:$L$1022, 3, FALSE)</f>
        <v>INSPECCIÓN Y END</v>
      </c>
      <c r="B49" s="1037"/>
      <c r="C49" s="1056" t="str">
        <f>VLOOKUP(M49,ASIGNATURAS!$F$1:$L$1022, 4, FALSE)</f>
        <v>Técnicas de Inspección y END</v>
      </c>
      <c r="D49" s="1057"/>
      <c r="E49" s="1057"/>
      <c r="F49" s="1057"/>
      <c r="G49" s="1057"/>
      <c r="H49" s="1057"/>
      <c r="I49" s="1057"/>
      <c r="J49" s="1057"/>
      <c r="K49" s="1057"/>
      <c r="L49" s="1058"/>
      <c r="M49" s="1028">
        <v>7109</v>
      </c>
      <c r="N49" s="1029"/>
      <c r="O49" s="1028">
        <f>VLOOKUP(M49,ASIGNATURAS!$F$1:$L$1022, 5, FALSE)</f>
        <v>4</v>
      </c>
      <c r="P49" s="1029"/>
      <c r="Q49" s="1056" t="str">
        <f>VLOOKUP(M49,ASIGNATURAS!$F$1:$L$1022, 6, FALSE)</f>
        <v>Fco. J. Belzunce (UNIOVI), Pedro Bravo (UBU)</v>
      </c>
      <c r="R49" s="1057"/>
      <c r="S49" s="1057"/>
      <c r="T49" s="1057"/>
      <c r="U49" s="1057"/>
      <c r="V49" s="1057"/>
      <c r="W49" s="1057"/>
      <c r="X49" s="1057"/>
      <c r="Y49" s="1057"/>
      <c r="Z49" s="1057"/>
      <c r="AA49" s="1057"/>
      <c r="AB49" s="1057"/>
      <c r="AC49" s="1057"/>
      <c r="AD49" s="1057"/>
      <c r="AE49" s="1058"/>
    </row>
    <row r="50" spans="1:31" ht="13.8" x14ac:dyDescent="0.25">
      <c r="A50" s="1188" t="str">
        <f>VLOOKUP(M50,ASIGNATURAS!$F$1:$L$1022, 3, FALSE)</f>
        <v>INTEGRIDAD ESTRUCTURAL</v>
      </c>
      <c r="B50" s="1189"/>
      <c r="C50" s="981" t="str">
        <f>VLOOKUP(M50,ASIGNATURAS!$F$1:$L$1022, 4, FALSE)</f>
        <v>Procedimientos de Integridad Estructural</v>
      </c>
      <c r="D50" s="982"/>
      <c r="E50" s="982"/>
      <c r="F50" s="982"/>
      <c r="G50" s="982"/>
      <c r="H50" s="982"/>
      <c r="I50" s="982"/>
      <c r="J50" s="982"/>
      <c r="K50" s="982"/>
      <c r="L50" s="983"/>
      <c r="M50" s="936">
        <v>7107</v>
      </c>
      <c r="N50" s="937"/>
      <c r="O50" s="936">
        <f>VLOOKUP(M50,ASIGNATURAS!$F$1:$L$1022, 5, FALSE)</f>
        <v>4</v>
      </c>
      <c r="P50" s="937"/>
      <c r="Q50" s="981" t="str">
        <f>VLOOKUP(M50,ASIGNATURAS!$F$1:$L$1022, 6, FALSE)</f>
        <v>Roberto Lacalle (UNICAM), Ivan Cuesta Segura (UBU)</v>
      </c>
      <c r="R50" s="982"/>
      <c r="S50" s="982"/>
      <c r="T50" s="982"/>
      <c r="U50" s="982"/>
      <c r="V50" s="982"/>
      <c r="W50" s="982"/>
      <c r="X50" s="982"/>
      <c r="Y50" s="982"/>
      <c r="Z50" s="982"/>
      <c r="AA50" s="982"/>
      <c r="AB50" s="982"/>
      <c r="AC50" s="982"/>
      <c r="AD50" s="982"/>
      <c r="AE50" s="983"/>
    </row>
    <row r="51" spans="1:31" ht="13.8" x14ac:dyDescent="0.25">
      <c r="A51" s="1188" t="str">
        <f>VLOOKUP(M51,ASIGNATURAS!$F$1:$L$1022, 3, FALSE)</f>
        <v>ANÁLISIS DE FALLOS</v>
      </c>
      <c r="B51" s="1189"/>
      <c r="C51" s="981" t="str">
        <f>VLOOKUP(M51,ASIGNATURAS!$F$1:$L$1022, 4, FALSE)</f>
        <v>Análisis de Fallos</v>
      </c>
      <c r="D51" s="982"/>
      <c r="E51" s="982"/>
      <c r="F51" s="982"/>
      <c r="G51" s="982"/>
      <c r="H51" s="982"/>
      <c r="I51" s="982"/>
      <c r="J51" s="982"/>
      <c r="K51" s="982"/>
      <c r="L51" s="983"/>
      <c r="M51" s="936">
        <v>7110</v>
      </c>
      <c r="N51" s="937"/>
      <c r="O51" s="936">
        <f>VLOOKUP(M51,ASIGNATURAS!$F$1:$L$1022, 5, FALSE)</f>
        <v>4</v>
      </c>
      <c r="P51" s="937"/>
      <c r="Q51" s="981" t="str">
        <f>VLOOKUP(M51,ASIGNATURAS!$F$1:$L$1022, 6, FALSE)</f>
        <v>Sergio Cicero (UNICAN), Pedro Bravo (UBU)</v>
      </c>
      <c r="R51" s="982"/>
      <c r="S51" s="982"/>
      <c r="T51" s="982"/>
      <c r="U51" s="982"/>
      <c r="V51" s="982"/>
      <c r="W51" s="982"/>
      <c r="X51" s="982"/>
      <c r="Y51" s="982"/>
      <c r="Z51" s="982"/>
      <c r="AA51" s="982"/>
      <c r="AB51" s="982"/>
      <c r="AC51" s="982"/>
      <c r="AD51" s="982"/>
      <c r="AE51" s="983"/>
    </row>
    <row r="52" spans="1:31" ht="13.8" x14ac:dyDescent="0.25">
      <c r="A52" s="1188" t="str">
        <f>VLOOKUP(M52,ASIGNATURAS!$F$1:$L$1022, 3, FALSE)</f>
        <v>SEMINARIO I</v>
      </c>
      <c r="B52" s="1189"/>
      <c r="C52" s="981" t="str">
        <f>VLOOKUP(M52,ASIGNATURAS!$F$1:$L$1022, 4, FALSE)</f>
        <v>Seminario Especializado I</v>
      </c>
      <c r="D52" s="982"/>
      <c r="E52" s="982"/>
      <c r="F52" s="982"/>
      <c r="G52" s="982"/>
      <c r="H52" s="982"/>
      <c r="I52" s="982"/>
      <c r="J52" s="982"/>
      <c r="K52" s="982"/>
      <c r="L52" s="983"/>
      <c r="M52" s="936">
        <v>7111</v>
      </c>
      <c r="N52" s="937"/>
      <c r="O52" s="936">
        <f>VLOOKUP(M52,ASIGNATURAS!$F$1:$L$1022, 5, FALSE)</f>
        <v>4</v>
      </c>
      <c r="P52" s="937"/>
      <c r="Q52" s="981" t="str">
        <f>VLOOKUP(M52,ASIGNATURAS!$F$1:$L$1022, 6, FALSE)</f>
        <v>Jesús Manuel Alegre (UBU), Wilco Verbeeten (UBU)</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SEMINARIO II</v>
      </c>
      <c r="B53" s="1189"/>
      <c r="C53" s="981" t="str">
        <f>VLOOKUP(M53,ASIGNATURAS!$F$1:$L$1022, 4, FALSE)</f>
        <v>Seminario Especializado II</v>
      </c>
      <c r="D53" s="982"/>
      <c r="E53" s="982"/>
      <c r="F53" s="982"/>
      <c r="G53" s="982"/>
      <c r="H53" s="982"/>
      <c r="I53" s="982"/>
      <c r="J53" s="982"/>
      <c r="K53" s="982"/>
      <c r="L53" s="983"/>
      <c r="M53" s="936">
        <v>7112</v>
      </c>
      <c r="N53" s="937"/>
      <c r="O53" s="936">
        <f>VLOOKUP(M53,ASIGNATURAS!$F$1:$L$1022, 5, FALSE)</f>
        <v>4</v>
      </c>
      <c r="P53" s="937"/>
      <c r="Q53" s="981" t="str">
        <f>VLOOKUP(M53,ASIGNATURAS!$F$1:$L$1022, 6, FALSE)</f>
        <v>Wilco Verbeeten (UBU)</v>
      </c>
      <c r="R53" s="982"/>
      <c r="S53" s="982"/>
      <c r="T53" s="982"/>
      <c r="U53" s="982"/>
      <c r="V53" s="982"/>
      <c r="W53" s="982"/>
      <c r="X53" s="982"/>
      <c r="Y53" s="982"/>
      <c r="Z53" s="982"/>
      <c r="AA53" s="982"/>
      <c r="AB53" s="982"/>
      <c r="AC53" s="982"/>
      <c r="AD53" s="982"/>
      <c r="AE53" s="983"/>
    </row>
    <row r="55" spans="1:31" ht="13.8" thickBot="1" x14ac:dyDescent="0.3"/>
    <row r="56" spans="1:31" ht="24" customHeight="1" thickBot="1" x14ac:dyDescent="0.3">
      <c r="A56" s="1677" t="s">
        <v>1005</v>
      </c>
      <c r="B56" s="1678"/>
      <c r="C56" s="1678"/>
      <c r="D56" s="1679"/>
    </row>
    <row r="57" spans="1:31" ht="24" customHeight="1" thickBot="1" x14ac:dyDescent="0.3">
      <c r="A57" s="2737" t="s">
        <v>1006</v>
      </c>
      <c r="B57" s="2738"/>
      <c r="C57" s="2738"/>
      <c r="D57" s="2739"/>
    </row>
    <row r="58" spans="1:31" ht="13.8" thickBot="1" x14ac:dyDescent="0.3">
      <c r="AC58" s="2865"/>
      <c r="AD58" s="2865"/>
      <c r="AE58" s="286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02" t="s">
        <v>1090</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1" s="8" customFormat="1" ht="23.25" customHeight="1" x14ac:dyDescent="0.4">
      <c r="A2" s="2264" t="s">
        <v>170</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912" t="s">
        <v>156</v>
      </c>
      <c r="AA2" s="2279"/>
      <c r="AB2" s="2279"/>
      <c r="AC2" s="2279"/>
      <c r="AD2" s="2279"/>
      <c r="AE2" s="2280"/>
    </row>
    <row r="3" spans="1:31"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1099</v>
      </c>
    </row>
    <row r="5" spans="1:31"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1" ht="30" customHeight="1" x14ac:dyDescent="0.3">
      <c r="A6" s="2907" t="s">
        <v>183</v>
      </c>
      <c r="B6" s="1083"/>
      <c r="C6" s="1020"/>
      <c r="D6" s="1020"/>
      <c r="E6" s="1020"/>
      <c r="F6" s="1020"/>
      <c r="G6" s="1021"/>
      <c r="H6" s="1083"/>
      <c r="I6" s="1020"/>
      <c r="J6" s="1020"/>
      <c r="K6" s="1020"/>
      <c r="L6" s="1020"/>
      <c r="M6" s="1021"/>
      <c r="N6" s="1083" t="s">
        <v>1097</v>
      </c>
      <c r="O6" s="1020"/>
      <c r="P6" s="1020"/>
      <c r="Q6" s="1020"/>
      <c r="R6" s="1020"/>
      <c r="S6" s="1021"/>
      <c r="T6" s="1083" t="s">
        <v>1097</v>
      </c>
      <c r="U6" s="1020"/>
      <c r="V6" s="1020"/>
      <c r="W6" s="1020"/>
      <c r="X6" s="1020"/>
      <c r="Y6" s="1021"/>
      <c r="Z6" s="1083"/>
      <c r="AA6" s="1020"/>
      <c r="AB6" s="1020"/>
      <c r="AC6" s="1020"/>
      <c r="AD6" s="1020"/>
      <c r="AE6" s="1021"/>
    </row>
    <row r="7" spans="1:31" ht="30" customHeight="1" x14ac:dyDescent="0.25">
      <c r="A7" s="2894"/>
      <c r="B7" s="2908"/>
      <c r="C7" s="1070"/>
      <c r="D7" s="1070"/>
      <c r="E7" s="1070"/>
      <c r="F7" s="1070"/>
      <c r="G7" s="2906"/>
      <c r="H7" s="2908"/>
      <c r="I7" s="1070"/>
      <c r="J7" s="1070"/>
      <c r="K7" s="1070"/>
      <c r="L7" s="1070"/>
      <c r="M7" s="2906"/>
      <c r="N7" s="2908" t="s">
        <v>156</v>
      </c>
      <c r="O7" s="1070"/>
      <c r="P7" s="1070"/>
      <c r="Q7" s="1070"/>
      <c r="R7" s="1070"/>
      <c r="S7" s="2906"/>
      <c r="T7" s="2908" t="s">
        <v>156</v>
      </c>
      <c r="U7" s="1070"/>
      <c r="V7" s="1070"/>
      <c r="W7" s="1070"/>
      <c r="X7" s="1070"/>
      <c r="Y7" s="2906"/>
      <c r="Z7" s="2908"/>
      <c r="AA7" s="1070"/>
      <c r="AB7" s="1070"/>
      <c r="AC7" s="1070"/>
      <c r="AD7" s="1070"/>
      <c r="AE7" s="2906"/>
    </row>
    <row r="8" spans="1:31" ht="30" customHeight="1" x14ac:dyDescent="0.3">
      <c r="A8" s="2907" t="s">
        <v>182</v>
      </c>
      <c r="B8" s="2909"/>
      <c r="C8" s="932"/>
      <c r="D8" s="932"/>
      <c r="E8" s="932"/>
      <c r="F8" s="932"/>
      <c r="G8" s="2321"/>
      <c r="H8" s="2909"/>
      <c r="I8" s="932"/>
      <c r="J8" s="932"/>
      <c r="K8" s="932"/>
      <c r="L8" s="932"/>
      <c r="M8" s="2321"/>
      <c r="N8" s="1083" t="s">
        <v>1097</v>
      </c>
      <c r="O8" s="1020"/>
      <c r="P8" s="1020"/>
      <c r="Q8" s="1020"/>
      <c r="R8" s="1020"/>
      <c r="S8" s="1021"/>
      <c r="T8" s="1083" t="s">
        <v>1097</v>
      </c>
      <c r="U8" s="1020"/>
      <c r="V8" s="1020"/>
      <c r="W8" s="1020"/>
      <c r="X8" s="1020"/>
      <c r="Y8" s="1021"/>
      <c r="Z8" s="2909"/>
      <c r="AA8" s="932"/>
      <c r="AB8" s="932"/>
      <c r="AC8" s="932"/>
      <c r="AD8" s="932"/>
      <c r="AE8" s="2321"/>
    </row>
    <row r="9" spans="1:31" ht="30" customHeight="1" x14ac:dyDescent="0.3">
      <c r="A9" s="2894"/>
      <c r="B9" s="2910"/>
      <c r="C9" s="1298"/>
      <c r="D9" s="1298"/>
      <c r="E9" s="1298"/>
      <c r="F9" s="1298"/>
      <c r="G9" s="2911"/>
      <c r="H9" s="2910"/>
      <c r="I9" s="1298"/>
      <c r="J9" s="1298"/>
      <c r="K9" s="1298"/>
      <c r="L9" s="1298"/>
      <c r="M9" s="2911"/>
      <c r="N9" s="1083" t="s">
        <v>1096</v>
      </c>
      <c r="O9" s="1020"/>
      <c r="P9" s="1020"/>
      <c r="Q9" s="1020"/>
      <c r="R9" s="1020"/>
      <c r="S9" s="1021"/>
      <c r="T9" s="1083" t="s">
        <v>1096</v>
      </c>
      <c r="U9" s="1020"/>
      <c r="V9" s="1020"/>
      <c r="W9" s="1020"/>
      <c r="X9" s="1020"/>
      <c r="Y9" s="1021"/>
      <c r="Z9" s="2910"/>
      <c r="AA9" s="1298"/>
      <c r="AB9" s="1298"/>
      <c r="AC9" s="1298"/>
      <c r="AD9" s="1298"/>
      <c r="AE9" s="2911"/>
    </row>
    <row r="10" spans="1:31" ht="30" customHeight="1" x14ac:dyDescent="0.3">
      <c r="A10" s="2907" t="s">
        <v>184</v>
      </c>
      <c r="B10" s="1083"/>
      <c r="C10" s="1020"/>
      <c r="D10" s="1020"/>
      <c r="E10" s="1020"/>
      <c r="F10" s="1020"/>
      <c r="G10" s="1021"/>
      <c r="H10" s="1083"/>
      <c r="I10" s="1020"/>
      <c r="J10" s="1020"/>
      <c r="K10" s="1020"/>
      <c r="L10" s="1020"/>
      <c r="M10" s="1021"/>
      <c r="N10" s="1083" t="s">
        <v>1096</v>
      </c>
      <c r="O10" s="1020"/>
      <c r="P10" s="1020"/>
      <c r="Q10" s="1020"/>
      <c r="R10" s="1020"/>
      <c r="S10" s="1021"/>
      <c r="T10" s="1083" t="s">
        <v>1098</v>
      </c>
      <c r="U10" s="1020"/>
      <c r="V10" s="1020"/>
      <c r="W10" s="1020"/>
      <c r="X10" s="1020"/>
      <c r="Y10" s="1021"/>
      <c r="Z10" s="1083"/>
      <c r="AA10" s="1020"/>
      <c r="AB10" s="1020"/>
      <c r="AC10" s="1020"/>
      <c r="AD10" s="1020"/>
      <c r="AE10" s="1021"/>
    </row>
    <row r="11" spans="1:31" ht="30" customHeight="1" x14ac:dyDescent="0.25">
      <c r="A11" s="2894"/>
      <c r="B11" s="1026"/>
      <c r="C11" s="965"/>
      <c r="D11" s="965"/>
      <c r="E11" s="965"/>
      <c r="F11" s="965"/>
      <c r="G11" s="1086"/>
      <c r="H11" s="1026"/>
      <c r="I11" s="965"/>
      <c r="J11" s="965"/>
      <c r="K11" s="965"/>
      <c r="L11" s="965"/>
      <c r="M11" s="1086"/>
      <c r="N11" s="1026" t="s">
        <v>554</v>
      </c>
      <c r="O11" s="965"/>
      <c r="P11" s="965"/>
      <c r="Q11" s="965"/>
      <c r="R11" s="965"/>
      <c r="S11" s="1086"/>
      <c r="T11" s="1026" t="s">
        <v>554</v>
      </c>
      <c r="U11" s="965"/>
      <c r="V11" s="965"/>
      <c r="W11" s="965"/>
      <c r="X11" s="965"/>
      <c r="Y11" s="1086"/>
      <c r="Z11" s="1026"/>
      <c r="AA11" s="965"/>
      <c r="AB11" s="965"/>
      <c r="AC11" s="965"/>
      <c r="AD11" s="965"/>
      <c r="AE11" s="1086"/>
    </row>
    <row r="12" spans="1:31" ht="30" customHeight="1" x14ac:dyDescent="0.3">
      <c r="A12" s="2907" t="s">
        <v>185</v>
      </c>
      <c r="B12" s="1083"/>
      <c r="C12" s="1020"/>
      <c r="D12" s="1020"/>
      <c r="E12" s="1020"/>
      <c r="F12" s="1020"/>
      <c r="G12" s="1021"/>
      <c r="H12" s="1083"/>
      <c r="I12" s="1020"/>
      <c r="J12" s="1020"/>
      <c r="K12" s="1020"/>
      <c r="L12" s="1020"/>
      <c r="M12" s="1021"/>
      <c r="N12" s="1083" t="s">
        <v>1098</v>
      </c>
      <c r="O12" s="1020"/>
      <c r="P12" s="1020"/>
      <c r="Q12" s="1020"/>
      <c r="R12" s="1020"/>
      <c r="S12" s="1021"/>
      <c r="T12" s="1083" t="s">
        <v>1098</v>
      </c>
      <c r="U12" s="1020"/>
      <c r="V12" s="1020"/>
      <c r="W12" s="1020"/>
      <c r="X12" s="1020"/>
      <c r="Y12" s="1021"/>
      <c r="Z12" s="1083"/>
      <c r="AA12" s="1020"/>
      <c r="AB12" s="1020"/>
      <c r="AC12" s="1020"/>
      <c r="AD12" s="1020"/>
      <c r="AE12" s="1021"/>
    </row>
    <row r="13" spans="1:31" ht="30" customHeight="1" x14ac:dyDescent="0.25">
      <c r="A13" s="2894"/>
      <c r="B13" s="1026"/>
      <c r="C13" s="965"/>
      <c r="D13" s="965"/>
      <c r="E13" s="965"/>
      <c r="F13" s="965"/>
      <c r="G13" s="1086"/>
      <c r="H13" s="1026"/>
      <c r="I13" s="965"/>
      <c r="J13" s="965"/>
      <c r="K13" s="965"/>
      <c r="L13" s="965"/>
      <c r="M13" s="1086"/>
      <c r="N13" s="1026" t="s">
        <v>554</v>
      </c>
      <c r="O13" s="965"/>
      <c r="P13" s="965"/>
      <c r="Q13" s="965"/>
      <c r="R13" s="965"/>
      <c r="S13" s="1086"/>
      <c r="T13" s="1026" t="s">
        <v>554</v>
      </c>
      <c r="U13" s="965"/>
      <c r="V13" s="965"/>
      <c r="W13" s="965"/>
      <c r="X13" s="965"/>
      <c r="Y13" s="1086"/>
      <c r="Z13" s="1026"/>
      <c r="AA13" s="965"/>
      <c r="AB13" s="965"/>
      <c r="AC13" s="965"/>
      <c r="AD13" s="965"/>
      <c r="AE13" s="1086"/>
    </row>
    <row r="14" spans="1:31" ht="30" customHeight="1" x14ac:dyDescent="0.3">
      <c r="A14" s="2907" t="s">
        <v>186</v>
      </c>
      <c r="B14" s="1083"/>
      <c r="C14" s="1020"/>
      <c r="D14" s="1020"/>
      <c r="E14" s="1020"/>
      <c r="F14" s="1020"/>
      <c r="G14" s="1021"/>
      <c r="H14" s="1083"/>
      <c r="I14" s="1020"/>
      <c r="J14" s="1020"/>
      <c r="K14" s="1020"/>
      <c r="L14" s="1020"/>
      <c r="M14" s="1021"/>
      <c r="N14" s="1083"/>
      <c r="O14" s="1020"/>
      <c r="P14" s="1020"/>
      <c r="Q14" s="1020"/>
      <c r="R14" s="1020"/>
      <c r="S14" s="1021"/>
      <c r="T14" s="1083"/>
      <c r="U14" s="1020"/>
      <c r="V14" s="1020"/>
      <c r="W14" s="1020"/>
      <c r="X14" s="1020"/>
      <c r="Y14" s="1021"/>
      <c r="Z14" s="1083"/>
      <c r="AA14" s="1020"/>
      <c r="AB14" s="1020"/>
      <c r="AC14" s="1020"/>
      <c r="AD14" s="1020"/>
      <c r="AE14" s="1021"/>
    </row>
    <row r="15" spans="1:31" ht="30" customHeight="1" x14ac:dyDescent="0.25">
      <c r="A15" s="2894"/>
      <c r="B15" s="1026"/>
      <c r="C15" s="965"/>
      <c r="D15" s="965"/>
      <c r="E15" s="965"/>
      <c r="F15" s="965"/>
      <c r="G15" s="1086"/>
      <c r="H15" s="1026"/>
      <c r="I15" s="965"/>
      <c r="J15" s="965"/>
      <c r="K15" s="965"/>
      <c r="L15" s="965"/>
      <c r="M15" s="1086"/>
      <c r="N15" s="1026"/>
      <c r="O15" s="965"/>
      <c r="P15" s="965"/>
      <c r="Q15" s="965"/>
      <c r="R15" s="965"/>
      <c r="S15" s="1086"/>
      <c r="T15" s="1026"/>
      <c r="U15" s="965"/>
      <c r="V15" s="965"/>
      <c r="W15" s="965"/>
      <c r="X15" s="965"/>
      <c r="Y15" s="1086"/>
      <c r="Z15" s="1026"/>
      <c r="AA15" s="965"/>
      <c r="AB15" s="965"/>
      <c r="AC15" s="965"/>
      <c r="AD15" s="965"/>
      <c r="AE15" s="1086"/>
    </row>
    <row r="16" spans="1:31" ht="30" customHeight="1" x14ac:dyDescent="0.3">
      <c r="A16" s="2907" t="s">
        <v>187</v>
      </c>
      <c r="B16" s="1083"/>
      <c r="C16" s="1020"/>
      <c r="D16" s="1020"/>
      <c r="E16" s="1020"/>
      <c r="F16" s="1020"/>
      <c r="G16" s="1021"/>
      <c r="H16" s="1083"/>
      <c r="I16" s="1020"/>
      <c r="J16" s="1020"/>
      <c r="K16" s="1020"/>
      <c r="L16" s="1020"/>
      <c r="M16" s="1021"/>
      <c r="N16" s="1083"/>
      <c r="O16" s="1020"/>
      <c r="P16" s="1020"/>
      <c r="Q16" s="1020"/>
      <c r="R16" s="1020"/>
      <c r="S16" s="1021"/>
      <c r="T16" s="1083"/>
      <c r="U16" s="1020"/>
      <c r="V16" s="1020"/>
      <c r="W16" s="1020"/>
      <c r="X16" s="1020"/>
      <c r="Y16" s="1021"/>
      <c r="Z16" s="1083"/>
      <c r="AA16" s="1020"/>
      <c r="AB16" s="1020"/>
      <c r="AC16" s="1020"/>
      <c r="AD16" s="1020"/>
      <c r="AE16" s="1021"/>
    </row>
    <row r="17" spans="1:31" ht="30" customHeight="1" x14ac:dyDescent="0.25">
      <c r="A17" s="2894"/>
      <c r="B17" s="1026"/>
      <c r="C17" s="965"/>
      <c r="D17" s="965"/>
      <c r="E17" s="965"/>
      <c r="F17" s="965"/>
      <c r="G17" s="1086"/>
      <c r="H17" s="1026"/>
      <c r="I17" s="965"/>
      <c r="J17" s="965"/>
      <c r="K17" s="965"/>
      <c r="L17" s="965"/>
      <c r="M17" s="1086"/>
      <c r="N17" s="1026"/>
      <c r="O17" s="965"/>
      <c r="P17" s="965"/>
      <c r="Q17" s="965"/>
      <c r="R17" s="965"/>
      <c r="S17" s="1086"/>
      <c r="T17" s="1026"/>
      <c r="U17" s="965"/>
      <c r="V17" s="965"/>
      <c r="W17" s="965"/>
      <c r="X17" s="965"/>
      <c r="Y17" s="1086"/>
      <c r="Z17" s="1026"/>
      <c r="AA17" s="965"/>
      <c r="AB17" s="965"/>
      <c r="AC17" s="965"/>
      <c r="AD17" s="965"/>
      <c r="AE17" s="1086"/>
    </row>
    <row r="18" spans="1:31" ht="52.5" customHeight="1" x14ac:dyDescent="0.25"/>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900" t="str">
        <f>VLOOKUP(M20,ASIGNATURAS!$F$1:$L$1022, 3, FALSE)</f>
        <v>TECN. ESTRUCT.</v>
      </c>
      <c r="B20" s="2900"/>
      <c r="C20" s="2901" t="str">
        <f>VLOOKUP(M20,ASIGNATURAS!$F$1:$L$1022, 4, FALSE)</f>
        <v>Tecnología  de Estructuras</v>
      </c>
      <c r="D20" s="2902"/>
      <c r="E20" s="2902"/>
      <c r="F20" s="2902"/>
      <c r="G20" s="2902"/>
      <c r="H20" s="2902"/>
      <c r="I20" s="2902"/>
      <c r="J20" s="2902"/>
      <c r="K20" s="2902"/>
      <c r="L20" s="2902"/>
      <c r="M20" s="2903">
        <v>7036</v>
      </c>
      <c r="N20" s="2904"/>
      <c r="O20" s="2903">
        <f>VLOOKUP(M20,ASIGNATURAS!$F$1:$L$1022, 5, FALSE)</f>
        <v>6</v>
      </c>
      <c r="P20" s="2904"/>
      <c r="Q20" s="2901" t="str">
        <f>VLOOKUP(M20,ASIGNATURAS!$F$1:$L$1022, 6, FALSE)</f>
        <v xml:space="preserve">Luis Suarez Vivar, Wilco Verbeeten </v>
      </c>
      <c r="R20" s="2902"/>
      <c r="S20" s="2902"/>
      <c r="T20" s="2902"/>
      <c r="U20" s="2902"/>
      <c r="V20" s="2902"/>
      <c r="W20" s="2902"/>
      <c r="X20" s="2902"/>
      <c r="Y20" s="2902"/>
      <c r="Z20" s="2902"/>
      <c r="AA20" s="2902"/>
      <c r="AB20" s="2902"/>
      <c r="AC20" s="2902"/>
      <c r="AD20" s="2902"/>
      <c r="AE20" s="2902"/>
    </row>
    <row r="21" spans="1:31" ht="13.8" x14ac:dyDescent="0.25">
      <c r="A21" s="2897" t="str">
        <f>VLOOKUP(M21,ASIGNATURAS!$F$1:$L$1022, 3, FALSE)</f>
        <v>GESTIÓN</v>
      </c>
      <c r="B21" s="2897"/>
      <c r="C21" s="2642" t="str">
        <f>VLOOKUP(M21,ASIGNATURAS!$F$1:$L$1022, 4, FALSE)</f>
        <v>Gestión de Empresas</v>
      </c>
      <c r="D21" s="2643"/>
      <c r="E21" s="2643"/>
      <c r="F21" s="2643"/>
      <c r="G21" s="2643"/>
      <c r="H21" s="2643"/>
      <c r="I21" s="2643"/>
      <c r="J21" s="2643"/>
      <c r="K21" s="2643"/>
      <c r="L21" s="2643"/>
      <c r="M21" s="2898">
        <v>7037</v>
      </c>
      <c r="N21" s="2899"/>
      <c r="O21" s="2898">
        <f>VLOOKUP(M21,ASIGNATURAS!$F$1:$L$1022, 5, FALSE)</f>
        <v>6</v>
      </c>
      <c r="P21" s="2899"/>
      <c r="Q21" s="2901" t="str">
        <f>VLOOKUP(M21,ASIGNATURAS!$F$1:$L$1022, 6, FALSE)</f>
        <v>Juan José Lavios Villahoz</v>
      </c>
      <c r="R21" s="2902"/>
      <c r="S21" s="2902"/>
      <c r="T21" s="2902"/>
      <c r="U21" s="2902"/>
      <c r="V21" s="2902"/>
      <c r="W21" s="2902"/>
      <c r="X21" s="2902"/>
      <c r="Y21" s="2902"/>
      <c r="Z21" s="2902"/>
      <c r="AA21" s="2902"/>
      <c r="AB21" s="2902"/>
      <c r="AC21" s="2902"/>
      <c r="AD21" s="2902"/>
      <c r="AE21" s="2902"/>
    </row>
    <row r="22" spans="1:31" ht="13.8" x14ac:dyDescent="0.25">
      <c r="A22" s="2897" t="str">
        <f>VLOOKUP(M22,ASIGNATURAS!$F$1:$L$1022, 3, FALSE)</f>
        <v>FABRIC. Y MAQ.</v>
      </c>
      <c r="B22" s="2897"/>
      <c r="C22" s="2642" t="str">
        <f>VLOOKUP(M22,ASIGNATURAS!$F$1:$L$1022, 4, FALSE)</f>
        <v>Fabricación y Máquinas</v>
      </c>
      <c r="D22" s="2643"/>
      <c r="E22" s="2643"/>
      <c r="F22" s="2643"/>
      <c r="G22" s="2643"/>
      <c r="H22" s="2643"/>
      <c r="I22" s="2643"/>
      <c r="J22" s="2643"/>
      <c r="K22" s="2643"/>
      <c r="L22" s="2643"/>
      <c r="M22" s="2898">
        <v>7038</v>
      </c>
      <c r="N22" s="2899"/>
      <c r="O22" s="2898">
        <f>VLOOKUP(M22,ASIGNATURAS!$F$1:$L$1022, 5, FALSE)</f>
        <v>6</v>
      </c>
      <c r="P22" s="2899"/>
      <c r="Q22" s="2642" t="str">
        <f>VLOOKUP(M22,ASIGNATURAS!$F$1:$L$1022, 6, FALSE)</f>
        <v>Francisco Javier Gómez Gil</v>
      </c>
      <c r="R22" s="2643"/>
      <c r="S22" s="2643"/>
      <c r="T22" s="2643"/>
      <c r="U22" s="2643"/>
      <c r="V22" s="2643"/>
      <c r="W22" s="2643"/>
      <c r="X22" s="2643"/>
      <c r="Y22" s="2643"/>
      <c r="Z22" s="2643"/>
      <c r="AA22" s="2643"/>
      <c r="AB22" s="2643"/>
      <c r="AC22" s="2643"/>
      <c r="AD22" s="2643"/>
      <c r="AE22" s="2643"/>
    </row>
    <row r="23" spans="1:31" ht="13.8" x14ac:dyDescent="0.25">
      <c r="A23" s="2897" t="str">
        <f>VLOOKUP(M23,ASIGNATURAS!$F$1:$L$1022, 3, FALSE)</f>
        <v>SIST. ELÉCTRIC.</v>
      </c>
      <c r="B23" s="2897"/>
      <c r="C23" s="2642" t="str">
        <f>VLOOKUP(M23,ASIGNATURAS!$F$1:$L$1022, 4, FALSE)</f>
        <v>Sistemas Eléctricos de Potencia</v>
      </c>
      <c r="D23" s="2643"/>
      <c r="E23" s="2643"/>
      <c r="F23" s="2643"/>
      <c r="G23" s="2643"/>
      <c r="H23" s="2643"/>
      <c r="I23" s="2643"/>
      <c r="J23" s="2643"/>
      <c r="K23" s="2643"/>
      <c r="L23" s="2643"/>
      <c r="M23" s="2898">
        <v>7039</v>
      </c>
      <c r="N23" s="2899"/>
      <c r="O23" s="2898">
        <f>VLOOKUP(M23,ASIGNATURAS!$F$1:$L$1022, 5, FALSE)</f>
        <v>6</v>
      </c>
      <c r="P23" s="2899"/>
      <c r="Q23" s="2642" t="str">
        <f>VLOOKUP(M23,ASIGNATURAS!$F$1:$L$1022, 6, FALSE)</f>
        <v>Jesús Sagredo González</v>
      </c>
      <c r="R23" s="2643"/>
      <c r="S23" s="2643"/>
      <c r="T23" s="2643"/>
      <c r="U23" s="2643"/>
      <c r="V23" s="2643"/>
      <c r="W23" s="2643"/>
      <c r="X23" s="2643"/>
      <c r="Y23" s="2643"/>
      <c r="Z23" s="2643"/>
      <c r="AA23" s="2643"/>
      <c r="AB23" s="2643"/>
      <c r="AC23" s="2643"/>
      <c r="AD23" s="2643"/>
      <c r="AE23" s="2643"/>
    </row>
    <row r="24" spans="1:31" ht="13.8" x14ac:dyDescent="0.25">
      <c r="A24" s="2897" t="str">
        <f>VLOOKUP(M24,ASIGNATURAS!$F$1:$L$1022, 3, FALSE)</f>
        <v>DERECHO</v>
      </c>
      <c r="B24" s="2897"/>
      <c r="C24" s="2642" t="str">
        <f>VLOOKUP(M24,ASIGNATURAS!$F$1:$L$1022, 4, FALSE)</f>
        <v>Derecho Mercantil y Laboral</v>
      </c>
      <c r="D24" s="2643"/>
      <c r="E24" s="2643"/>
      <c r="F24" s="2643"/>
      <c r="G24" s="2643"/>
      <c r="H24" s="2643"/>
      <c r="I24" s="2643"/>
      <c r="J24" s="2643"/>
      <c r="K24" s="2643"/>
      <c r="L24" s="2643"/>
      <c r="M24" s="2898">
        <v>7040</v>
      </c>
      <c r="N24" s="2899"/>
      <c r="O24" s="2898">
        <f>VLOOKUP(M24,ASIGNATURAS!$F$1:$L$1022, 5, FALSE)</f>
        <v>3</v>
      </c>
      <c r="P24" s="2899"/>
      <c r="Q24" s="2642" t="str">
        <f>VLOOKUP(M24,ASIGNATURAS!$F$1:$L$1022, 6, FALSE)</f>
        <v>Juan Cruz Monje Santillana</v>
      </c>
      <c r="R24" s="2643"/>
      <c r="S24" s="2643"/>
      <c r="T24" s="2643"/>
      <c r="U24" s="2643"/>
      <c r="V24" s="2643"/>
      <c r="W24" s="2643"/>
      <c r="X24" s="2643"/>
      <c r="Y24" s="2643"/>
      <c r="Z24" s="2643"/>
      <c r="AA24" s="2643"/>
      <c r="AB24" s="2643"/>
      <c r="AC24" s="2643"/>
      <c r="AD24" s="2643"/>
      <c r="AE24" s="2643"/>
    </row>
    <row r="25" spans="1:31" ht="13.8" x14ac:dyDescent="0.25">
      <c r="A25" s="2897" t="str">
        <f>VLOOKUP(M25,ASIGNATURAS!$F$1:$L$1022, 3, FALSE)</f>
        <v>QUÍMICA IND.</v>
      </c>
      <c r="B25" s="2897"/>
      <c r="C25" s="2642" t="str">
        <f>VLOOKUP(M25,ASIGNATURAS!$F$1:$L$1022, 4, FALSE)</f>
        <v>Química Industrial</v>
      </c>
      <c r="D25" s="2643"/>
      <c r="E25" s="2643"/>
      <c r="F25" s="2643"/>
      <c r="G25" s="2643"/>
      <c r="H25" s="2643"/>
      <c r="I25" s="2643"/>
      <c r="J25" s="2643"/>
      <c r="K25" s="2643"/>
      <c r="L25" s="2643"/>
      <c r="M25" s="2898">
        <v>7041</v>
      </c>
      <c r="N25" s="2899"/>
      <c r="O25" s="2898">
        <f>VLOOKUP(M25,ASIGNATURAS!$F$1:$L$1022, 5, FALSE)</f>
        <v>3</v>
      </c>
      <c r="P25" s="2899"/>
      <c r="Q25" s="2642" t="str">
        <f>VLOOKUP(M25,ASIGNATURAS!$F$1:$L$1022, 6, FALSE)</f>
        <v>Fco. Javier Rodríguez Vidal, Luis Marcos Naveira</v>
      </c>
      <c r="R25" s="2643"/>
      <c r="S25" s="2643"/>
      <c r="T25" s="2643"/>
      <c r="U25" s="2643"/>
      <c r="V25" s="2643"/>
      <c r="W25" s="2643"/>
      <c r="X25" s="2643"/>
      <c r="Y25" s="2643"/>
      <c r="Z25" s="2643"/>
      <c r="AA25" s="2643"/>
      <c r="AB25" s="2643"/>
      <c r="AC25" s="2643"/>
      <c r="AD25" s="2643"/>
      <c r="AE25" s="2643"/>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1" s="1" customFormat="1" ht="31.5" customHeight="1" x14ac:dyDescent="0.4">
      <c r="A33" s="2802" t="str">
        <f>A1</f>
        <v>MASTER DE PROFESORADO EN EDUCACIÓN</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1" s="8" customFormat="1" ht="23.25" customHeight="1" x14ac:dyDescent="0.4">
      <c r="A34" s="2264" t="s">
        <v>171</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555</v>
      </c>
      <c r="AA34" s="2279"/>
      <c r="AB34" s="2279"/>
      <c r="AC34" s="2279"/>
      <c r="AD34" s="2279"/>
      <c r="AE34" s="2280"/>
    </row>
    <row r="35" spans="1:31"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1" ht="38.25" customHeight="1" x14ac:dyDescent="0.25">
      <c r="A36" s="23" t="s">
        <v>1100</v>
      </c>
    </row>
    <row r="37" spans="1:31"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1" ht="30" customHeight="1" x14ac:dyDescent="0.3">
      <c r="A38" s="2905" t="s">
        <v>183</v>
      </c>
      <c r="B38" s="999" t="s">
        <v>1104</v>
      </c>
      <c r="C38" s="999"/>
      <c r="D38" s="999"/>
      <c r="E38" s="999"/>
      <c r="F38" s="999"/>
      <c r="G38" s="1110"/>
      <c r="H38" s="999" t="s">
        <v>1105</v>
      </c>
      <c r="I38" s="999"/>
      <c r="J38" s="999"/>
      <c r="K38" s="999"/>
      <c r="L38" s="999"/>
      <c r="M38" s="1110"/>
      <c r="N38" s="999" t="s">
        <v>1104</v>
      </c>
      <c r="O38" s="999"/>
      <c r="P38" s="999"/>
      <c r="Q38" s="999"/>
      <c r="R38" s="999"/>
      <c r="S38" s="1110"/>
      <c r="T38" s="999" t="s">
        <v>1105</v>
      </c>
      <c r="U38" s="999"/>
      <c r="V38" s="999"/>
      <c r="W38" s="999"/>
      <c r="X38" s="999"/>
      <c r="Y38" s="1110"/>
      <c r="Z38" s="999"/>
      <c r="AA38" s="999"/>
      <c r="AB38" s="999"/>
      <c r="AC38" s="999"/>
      <c r="AD38" s="999"/>
      <c r="AE38" s="1110"/>
    </row>
    <row r="39" spans="1:31" ht="30" customHeight="1" x14ac:dyDescent="0.25">
      <c r="A39" s="2894"/>
      <c r="B39" s="1070" t="s">
        <v>555</v>
      </c>
      <c r="C39" s="1070"/>
      <c r="D39" s="1070"/>
      <c r="E39" s="1070"/>
      <c r="F39" s="1070"/>
      <c r="G39" s="2906"/>
      <c r="H39" s="1070" t="s">
        <v>555</v>
      </c>
      <c r="I39" s="1070"/>
      <c r="J39" s="1070"/>
      <c r="K39" s="1070"/>
      <c r="L39" s="1070"/>
      <c r="M39" s="2906"/>
      <c r="N39" s="1070" t="s">
        <v>555</v>
      </c>
      <c r="O39" s="1070"/>
      <c r="P39" s="1070"/>
      <c r="Q39" s="1070"/>
      <c r="R39" s="1070"/>
      <c r="S39" s="2906"/>
      <c r="T39" s="1070" t="s">
        <v>555</v>
      </c>
      <c r="U39" s="1070"/>
      <c r="V39" s="1070"/>
      <c r="W39" s="1070"/>
      <c r="X39" s="1070"/>
      <c r="Y39" s="2906"/>
      <c r="Z39" s="1070"/>
      <c r="AA39" s="1070"/>
      <c r="AB39" s="1070"/>
      <c r="AC39" s="1070"/>
      <c r="AD39" s="1070"/>
      <c r="AE39" s="2906"/>
    </row>
    <row r="40" spans="1:31" ht="30" customHeight="1" x14ac:dyDescent="0.3">
      <c r="A40" s="2905" t="s">
        <v>182</v>
      </c>
      <c r="B40" s="999" t="s">
        <v>1104</v>
      </c>
      <c r="C40" s="999"/>
      <c r="D40" s="999"/>
      <c r="E40" s="999"/>
      <c r="F40" s="999"/>
      <c r="G40" s="1110"/>
      <c r="H40" s="999" t="s">
        <v>1105</v>
      </c>
      <c r="I40" s="999"/>
      <c r="J40" s="999"/>
      <c r="K40" s="999"/>
      <c r="L40" s="999"/>
      <c r="M40" s="1110"/>
      <c r="N40" s="999" t="s">
        <v>1104</v>
      </c>
      <c r="O40" s="999"/>
      <c r="P40" s="999"/>
      <c r="Q40" s="999"/>
      <c r="R40" s="999"/>
      <c r="S40" s="1110"/>
      <c r="T40" s="999" t="s">
        <v>1105</v>
      </c>
      <c r="U40" s="999"/>
      <c r="V40" s="999"/>
      <c r="W40" s="999"/>
      <c r="X40" s="999"/>
      <c r="Y40" s="1110"/>
      <c r="Z40" s="999"/>
      <c r="AA40" s="999"/>
      <c r="AB40" s="999"/>
      <c r="AC40" s="999"/>
      <c r="AD40" s="999"/>
      <c r="AE40" s="1110"/>
    </row>
    <row r="41" spans="1:31" ht="30" customHeight="1" x14ac:dyDescent="0.25">
      <c r="A41" s="2894"/>
      <c r="B41" s="1070" t="s">
        <v>555</v>
      </c>
      <c r="C41" s="1070"/>
      <c r="D41" s="1070"/>
      <c r="E41" s="1070"/>
      <c r="F41" s="1070"/>
      <c r="G41" s="2906"/>
      <c r="H41" s="1070" t="s">
        <v>555</v>
      </c>
      <c r="I41" s="1070"/>
      <c r="J41" s="1070"/>
      <c r="K41" s="1070"/>
      <c r="L41" s="1070"/>
      <c r="M41" s="2906"/>
      <c r="N41" s="1070" t="s">
        <v>555</v>
      </c>
      <c r="O41" s="1070"/>
      <c r="P41" s="1070"/>
      <c r="Q41" s="1070"/>
      <c r="R41" s="1070"/>
      <c r="S41" s="2906"/>
      <c r="T41" s="1070" t="s">
        <v>555</v>
      </c>
      <c r="U41" s="1070"/>
      <c r="V41" s="1070"/>
      <c r="W41" s="1070"/>
      <c r="X41" s="1070"/>
      <c r="Y41" s="2906"/>
      <c r="Z41" s="1107"/>
      <c r="AA41" s="1107"/>
      <c r="AB41" s="1107"/>
      <c r="AC41" s="1107"/>
      <c r="AD41" s="1107"/>
      <c r="AE41" s="1108"/>
    </row>
    <row r="42" spans="1:31" ht="30" customHeight="1" x14ac:dyDescent="0.3">
      <c r="A42" s="2905" t="s">
        <v>184</v>
      </c>
      <c r="B42" s="999" t="s">
        <v>1105</v>
      </c>
      <c r="C42" s="999"/>
      <c r="D42" s="999"/>
      <c r="E42" s="999"/>
      <c r="F42" s="999"/>
      <c r="G42" s="1110"/>
      <c r="H42" s="999" t="s">
        <v>1106</v>
      </c>
      <c r="I42" s="999"/>
      <c r="J42" s="999"/>
      <c r="K42" s="999"/>
      <c r="L42" s="999"/>
      <c r="M42" s="1110"/>
      <c r="N42" s="999" t="s">
        <v>1106</v>
      </c>
      <c r="O42" s="999"/>
      <c r="P42" s="999"/>
      <c r="Q42" s="999"/>
      <c r="R42" s="999"/>
      <c r="S42" s="1110"/>
      <c r="T42" s="999" t="s">
        <v>1104</v>
      </c>
      <c r="U42" s="999"/>
      <c r="V42" s="999"/>
      <c r="W42" s="999"/>
      <c r="X42" s="999"/>
      <c r="Y42" s="1110"/>
      <c r="Z42" s="999"/>
      <c r="AA42" s="999"/>
      <c r="AB42" s="999"/>
      <c r="AC42" s="999"/>
      <c r="AD42" s="999"/>
      <c r="AE42" s="1110"/>
    </row>
    <row r="43" spans="1:31" ht="30" customHeight="1" x14ac:dyDescent="0.25">
      <c r="A43" s="2894"/>
      <c r="B43" s="1070" t="s">
        <v>555</v>
      </c>
      <c r="C43" s="1070"/>
      <c r="D43" s="1070"/>
      <c r="E43" s="1070"/>
      <c r="F43" s="1070"/>
      <c r="G43" s="2906"/>
      <c r="H43" s="1070" t="s">
        <v>555</v>
      </c>
      <c r="I43" s="1070"/>
      <c r="J43" s="1070"/>
      <c r="K43" s="1070"/>
      <c r="L43" s="1070"/>
      <c r="M43" s="2906"/>
      <c r="N43" s="1070" t="s">
        <v>555</v>
      </c>
      <c r="O43" s="1070"/>
      <c r="P43" s="1070"/>
      <c r="Q43" s="1070"/>
      <c r="R43" s="1070"/>
      <c r="S43" s="2906"/>
      <c r="T43" s="1070" t="s">
        <v>555</v>
      </c>
      <c r="U43" s="1070"/>
      <c r="V43" s="1070"/>
      <c r="W43" s="1070"/>
      <c r="X43" s="1070"/>
      <c r="Y43" s="2906"/>
      <c r="Z43" s="965"/>
      <c r="AA43" s="965"/>
      <c r="AB43" s="965"/>
      <c r="AC43" s="965"/>
      <c r="AD43" s="965"/>
      <c r="AE43" s="1086"/>
    </row>
    <row r="44" spans="1:31" ht="30" customHeight="1" x14ac:dyDescent="0.3">
      <c r="A44" s="2905" t="s">
        <v>185</v>
      </c>
      <c r="B44" s="999" t="s">
        <v>1105</v>
      </c>
      <c r="C44" s="999"/>
      <c r="D44" s="999"/>
      <c r="E44" s="999"/>
      <c r="F44" s="999"/>
      <c r="G44" s="1110"/>
      <c r="H44" s="999" t="s">
        <v>1106</v>
      </c>
      <c r="I44" s="999"/>
      <c r="J44" s="999"/>
      <c r="K44" s="999"/>
      <c r="L44" s="999"/>
      <c r="M44" s="1110"/>
      <c r="N44" s="999" t="s">
        <v>1106</v>
      </c>
      <c r="O44" s="999"/>
      <c r="P44" s="999"/>
      <c r="Q44" s="999"/>
      <c r="R44" s="999"/>
      <c r="S44" s="1110"/>
      <c r="T44" s="999" t="s">
        <v>1104</v>
      </c>
      <c r="U44" s="999"/>
      <c r="V44" s="999"/>
      <c r="W44" s="999"/>
      <c r="X44" s="999"/>
      <c r="Y44" s="1110"/>
      <c r="Z44" s="999"/>
      <c r="AA44" s="999"/>
      <c r="AB44" s="999"/>
      <c r="AC44" s="999"/>
      <c r="AD44" s="999"/>
      <c r="AE44" s="1110"/>
    </row>
    <row r="45" spans="1:31" ht="30" customHeight="1" x14ac:dyDescent="0.25">
      <c r="A45" s="2894"/>
      <c r="B45" s="1070" t="s">
        <v>555</v>
      </c>
      <c r="C45" s="1070"/>
      <c r="D45" s="1070"/>
      <c r="E45" s="1070"/>
      <c r="F45" s="1070"/>
      <c r="G45" s="2906"/>
      <c r="H45" s="1070" t="s">
        <v>555</v>
      </c>
      <c r="I45" s="1070"/>
      <c r="J45" s="1070"/>
      <c r="K45" s="1070"/>
      <c r="L45" s="1070"/>
      <c r="M45" s="2906"/>
      <c r="N45" s="1070" t="s">
        <v>555</v>
      </c>
      <c r="O45" s="1070"/>
      <c r="P45" s="1070"/>
      <c r="Q45" s="1070"/>
      <c r="R45" s="1070"/>
      <c r="S45" s="2906"/>
      <c r="T45" s="1070" t="s">
        <v>555</v>
      </c>
      <c r="U45" s="1070"/>
      <c r="V45" s="1070"/>
      <c r="W45" s="1070"/>
      <c r="X45" s="1070"/>
      <c r="Y45" s="2906"/>
      <c r="Z45" s="1026"/>
      <c r="AA45" s="965"/>
      <c r="AB45" s="965"/>
      <c r="AC45" s="965"/>
      <c r="AD45" s="965"/>
      <c r="AE45" s="1086"/>
    </row>
    <row r="46" spans="1:31" ht="30" customHeight="1" x14ac:dyDescent="0.3">
      <c r="A46" s="2905" t="s">
        <v>186</v>
      </c>
      <c r="B46" s="1083"/>
      <c r="C46" s="1020"/>
      <c r="D46" s="1020"/>
      <c r="E46" s="1020"/>
      <c r="F46" s="1020"/>
      <c r="G46" s="1021"/>
      <c r="H46" s="1083"/>
      <c r="I46" s="1020"/>
      <c r="J46" s="1020"/>
      <c r="K46" s="1020"/>
      <c r="L46" s="1020"/>
      <c r="M46" s="1021"/>
      <c r="N46" s="999"/>
      <c r="O46" s="999"/>
      <c r="P46" s="999"/>
      <c r="Q46" s="999"/>
      <c r="R46" s="999"/>
      <c r="S46" s="1110"/>
      <c r="T46" s="1083"/>
      <c r="U46" s="1020"/>
      <c r="V46" s="1020"/>
      <c r="W46" s="1020"/>
      <c r="X46" s="1020"/>
      <c r="Y46" s="1021"/>
      <c r="Z46" s="1083"/>
      <c r="AA46" s="1020"/>
      <c r="AB46" s="1020"/>
      <c r="AC46" s="1020"/>
      <c r="AD46" s="1020"/>
      <c r="AE46" s="1021"/>
    </row>
    <row r="47" spans="1:31" ht="30" customHeight="1" x14ac:dyDescent="0.25">
      <c r="A47" s="2894"/>
      <c r="B47" s="1026"/>
      <c r="C47" s="965"/>
      <c r="D47" s="965"/>
      <c r="E47" s="965"/>
      <c r="F47" s="965"/>
      <c r="G47" s="1086"/>
      <c r="H47" s="1026"/>
      <c r="I47" s="965"/>
      <c r="J47" s="965"/>
      <c r="K47" s="965"/>
      <c r="L47" s="965"/>
      <c r="M47" s="1086"/>
      <c r="N47" s="1026"/>
      <c r="O47" s="965"/>
      <c r="P47" s="965"/>
      <c r="Q47" s="965"/>
      <c r="R47" s="965"/>
      <c r="S47" s="1086"/>
      <c r="T47" s="1026"/>
      <c r="U47" s="965"/>
      <c r="V47" s="965"/>
      <c r="W47" s="965"/>
      <c r="X47" s="965"/>
      <c r="Y47" s="1086"/>
      <c r="Z47" s="1026"/>
      <c r="AA47" s="965"/>
      <c r="AB47" s="965"/>
      <c r="AC47" s="965"/>
      <c r="AD47" s="965"/>
      <c r="AE47" s="1086"/>
    </row>
    <row r="48" spans="1:31" ht="30" customHeight="1" x14ac:dyDescent="0.3">
      <c r="A48" s="2905" t="s">
        <v>187</v>
      </c>
      <c r="B48" s="1083"/>
      <c r="C48" s="1020"/>
      <c r="D48" s="1020"/>
      <c r="E48" s="1020"/>
      <c r="F48" s="1020"/>
      <c r="G48" s="1021"/>
      <c r="H48" s="1083"/>
      <c r="I48" s="1020"/>
      <c r="J48" s="1020"/>
      <c r="K48" s="1020"/>
      <c r="L48" s="1020"/>
      <c r="M48" s="1021"/>
      <c r="N48" s="999"/>
      <c r="O48" s="999"/>
      <c r="P48" s="999"/>
      <c r="Q48" s="999"/>
      <c r="R48" s="999"/>
      <c r="S48" s="1110"/>
      <c r="T48" s="1083"/>
      <c r="U48" s="1020"/>
      <c r="V48" s="1020"/>
      <c r="W48" s="1020"/>
      <c r="X48" s="1020"/>
      <c r="Y48" s="1021"/>
      <c r="Z48" s="1083"/>
      <c r="AA48" s="1020"/>
      <c r="AB48" s="1020"/>
      <c r="AC48" s="1020"/>
      <c r="AD48" s="1020"/>
      <c r="AE48" s="1021"/>
    </row>
    <row r="49" spans="1:31" ht="30" customHeight="1" x14ac:dyDescent="0.25">
      <c r="A49" s="2894"/>
      <c r="B49" s="1026"/>
      <c r="C49" s="965"/>
      <c r="D49" s="965"/>
      <c r="E49" s="965"/>
      <c r="F49" s="965"/>
      <c r="G49" s="1086"/>
      <c r="H49" s="1026"/>
      <c r="I49" s="965"/>
      <c r="J49" s="965"/>
      <c r="K49" s="965"/>
      <c r="L49" s="965"/>
      <c r="M49" s="1086"/>
      <c r="N49" s="1026"/>
      <c r="O49" s="965"/>
      <c r="P49" s="965"/>
      <c r="Q49" s="965"/>
      <c r="R49" s="965"/>
      <c r="S49" s="1086"/>
      <c r="T49" s="1026"/>
      <c r="U49" s="965"/>
      <c r="V49" s="965"/>
      <c r="W49" s="965"/>
      <c r="X49" s="965"/>
      <c r="Y49" s="1086"/>
      <c r="Z49" s="1026"/>
      <c r="AA49" s="965"/>
      <c r="AB49" s="965"/>
      <c r="AC49" s="965"/>
      <c r="AD49" s="965"/>
      <c r="AE49" s="1086"/>
    </row>
    <row r="50" spans="1:31" ht="52.5" customHeight="1" x14ac:dyDescent="0.25"/>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900" t="str">
        <f>VLOOKUP(M52,ASIGNATURAS!$F$1:$L$1022, 3, FALSE)</f>
        <v>CONST. Y EDIFIC.</v>
      </c>
      <c r="B52" s="2900"/>
      <c r="C52" s="2901" t="str">
        <f>VLOOKUP(M52,ASIGNATURAS!$F$1:$L$1022, 4, FALSE)</f>
        <v>Construcción y Edificación de Plantas Industriales</v>
      </c>
      <c r="D52" s="2902"/>
      <c r="E52" s="2902"/>
      <c r="F52" s="2902"/>
      <c r="G52" s="2902"/>
      <c r="H52" s="2902"/>
      <c r="I52" s="2902"/>
      <c r="J52" s="2902"/>
      <c r="K52" s="2902"/>
      <c r="L52" s="2902"/>
      <c r="M52" s="2903">
        <v>7042</v>
      </c>
      <c r="N52" s="2904"/>
      <c r="O52" s="2903">
        <f>VLOOKUP(M52,ASIGNATURAS!$F$1:$L$1022, 5, FALSE)</f>
        <v>6</v>
      </c>
      <c r="P52" s="2904"/>
      <c r="Q52" s="2901" t="str">
        <f>VLOOKUP(M52,ASIGNATURAS!$F$1:$L$1022, 6, FALSE)</f>
        <v>Luis Alfredo Suárez Vivar</v>
      </c>
      <c r="R52" s="2902"/>
      <c r="S52" s="2902"/>
      <c r="T52" s="2902"/>
      <c r="U52" s="2902"/>
      <c r="V52" s="2902"/>
      <c r="W52" s="2902"/>
      <c r="X52" s="2902"/>
      <c r="Y52" s="2902"/>
      <c r="Z52" s="2902"/>
      <c r="AA52" s="2902"/>
      <c r="AB52" s="2902"/>
      <c r="AC52" s="2902"/>
      <c r="AD52" s="2902"/>
      <c r="AE52" s="2902"/>
    </row>
    <row r="53" spans="1:31" ht="13.8" x14ac:dyDescent="0.25">
      <c r="A53" s="2897" t="str">
        <f>VLOOKUP(M53,ASIGNATURAS!$F$1:$L$1022, 3, FALSE)</f>
        <v>DIRECCIÓN PROD.</v>
      </c>
      <c r="B53" s="2897"/>
      <c r="C53" s="2642" t="str">
        <f>VLOOKUP(M53,ASIGNATURAS!$F$1:$L$1022, 4, FALSE)</f>
        <v>Dirección de la Producción y Proyectos</v>
      </c>
      <c r="D53" s="2643"/>
      <c r="E53" s="2643"/>
      <c r="F53" s="2643"/>
      <c r="G53" s="2643"/>
      <c r="H53" s="2643"/>
      <c r="I53" s="2643"/>
      <c r="J53" s="2643"/>
      <c r="K53" s="2643"/>
      <c r="L53" s="2643"/>
      <c r="M53" s="2898">
        <v>7043</v>
      </c>
      <c r="N53" s="2899"/>
      <c r="O53" s="2898">
        <f>VLOOKUP(M53,ASIGNATURAS!$F$1:$L$1022, 5, FALSE)</f>
        <v>6</v>
      </c>
      <c r="P53" s="2899"/>
      <c r="Q53" s="2642" t="str">
        <f>VLOOKUP(M53,ASIGNATURAS!$F$1:$L$1022, 6, FALSE)</f>
        <v>Miguel Angel Mariscal, Ricardo del Olmo</v>
      </c>
      <c r="R53" s="2643"/>
      <c r="S53" s="2643"/>
      <c r="T53" s="2643"/>
      <c r="U53" s="2643"/>
      <c r="V53" s="2643"/>
      <c r="W53" s="2643"/>
      <c r="X53" s="2643"/>
      <c r="Y53" s="2643"/>
      <c r="Z53" s="2643"/>
      <c r="AA53" s="2643"/>
      <c r="AB53" s="2643"/>
      <c r="AC53" s="2643"/>
      <c r="AD53" s="2643"/>
      <c r="AE53" s="2643"/>
    </row>
    <row r="54" spans="1:31" ht="13.8" x14ac:dyDescent="0.25">
      <c r="A54" s="2897" t="str">
        <f>VLOOKUP(M54,ASIGNATURAS!$F$1:$L$1022, 3, FALSE)</f>
        <v>ING. ENERGÉTICA</v>
      </c>
      <c r="B54" s="2897"/>
      <c r="C54" s="2642" t="str">
        <f>VLOOKUP(M54,ASIGNATURAS!$F$1:$L$1022, 4, FALSE)</f>
        <v>Ingeniería Energética</v>
      </c>
      <c r="D54" s="2643"/>
      <c r="E54" s="2643"/>
      <c r="F54" s="2643"/>
      <c r="G54" s="2643"/>
      <c r="H54" s="2643"/>
      <c r="I54" s="2643"/>
      <c r="J54" s="2643"/>
      <c r="K54" s="2643"/>
      <c r="L54" s="2643"/>
      <c r="M54" s="2898">
        <v>7044</v>
      </c>
      <c r="N54" s="2899"/>
      <c r="O54" s="2898">
        <f>VLOOKUP(M54,ASIGNATURAS!$F$1:$L$1022, 5, FALSE)</f>
        <v>6</v>
      </c>
      <c r="P54" s="2899"/>
      <c r="Q54" s="2642" t="str">
        <f>VLOOKUP(M54,ASIGNATURAS!$F$1:$L$1022, 6, FALSE)</f>
        <v>Fernando Aguilar Romero, Natalia Muñoz</v>
      </c>
      <c r="R54" s="2643"/>
      <c r="S54" s="2643"/>
      <c r="T54" s="2643"/>
      <c r="U54" s="2643"/>
      <c r="V54" s="2643"/>
      <c r="W54" s="2643"/>
      <c r="X54" s="2643"/>
      <c r="Y54" s="2643"/>
      <c r="Z54" s="2643"/>
      <c r="AA54" s="2643"/>
      <c r="AB54" s="2643"/>
      <c r="AC54" s="2643"/>
      <c r="AD54" s="2643"/>
      <c r="AE54" s="2643"/>
    </row>
    <row r="55" spans="1:31" ht="13.8" x14ac:dyDescent="0.25">
      <c r="A55" s="2897" t="str">
        <f>VLOOKUP(M55,ASIGNATURAS!$F$1:$L$1022, 3, FALSE)</f>
        <v>CONT. PROCESOS</v>
      </c>
      <c r="B55" s="2897"/>
      <c r="C55" s="2642" t="str">
        <f>VLOOKUP(M55,ASIGNATURAS!$F$1:$L$1022, 4, FALSE)</f>
        <v>Control Avanzado de Procesos</v>
      </c>
      <c r="D55" s="2643"/>
      <c r="E55" s="2643"/>
      <c r="F55" s="2643"/>
      <c r="G55" s="2643"/>
      <c r="H55" s="2643"/>
      <c r="I55" s="2643"/>
      <c r="J55" s="2643"/>
      <c r="K55" s="2643"/>
      <c r="L55" s="2643"/>
      <c r="M55" s="2898">
        <v>7045</v>
      </c>
      <c r="N55" s="2899"/>
      <c r="O55" s="2898">
        <f>VLOOKUP(M55,ASIGNATURAS!$F$1:$L$1022, 5, FALSE)</f>
        <v>6</v>
      </c>
      <c r="P55" s="2899"/>
      <c r="Q55" s="2642" t="str">
        <f>VLOOKUP(M55,ASIGNATURAS!$F$1:$L$1022, 6, FALSE)</f>
        <v>Daniel Sarabia Ortiz</v>
      </c>
      <c r="R55" s="2643"/>
      <c r="S55" s="2643"/>
      <c r="T55" s="2643"/>
      <c r="U55" s="2643"/>
      <c r="V55" s="2643"/>
      <c r="W55" s="2643"/>
      <c r="X55" s="2643"/>
      <c r="Y55" s="2643"/>
      <c r="Z55" s="2643"/>
      <c r="AA55" s="2643"/>
      <c r="AB55" s="2643"/>
      <c r="AC55" s="2643"/>
      <c r="AD55" s="2643"/>
      <c r="AE55" s="2643"/>
    </row>
    <row r="56" spans="1:31" ht="13.8" x14ac:dyDescent="0.25">
      <c r="A56" s="2897" t="str">
        <f>VLOOKUP(M56,ASIGNATURAS!$F$1:$L$1022, 3, FALSE)</f>
        <v>ING. ELECTRÓN.</v>
      </c>
      <c r="B56" s="2897"/>
      <c r="C56" s="2642" t="str">
        <f>VLOOKUP(M56,ASIGNATURAS!$F$1:$L$1022, 4, FALSE)</f>
        <v>Ingeniería Electrónica</v>
      </c>
      <c r="D56" s="2643"/>
      <c r="E56" s="2643"/>
      <c r="F56" s="2643"/>
      <c r="G56" s="2643"/>
      <c r="H56" s="2643"/>
      <c r="I56" s="2643"/>
      <c r="J56" s="2643"/>
      <c r="K56" s="2643"/>
      <c r="L56" s="2643"/>
      <c r="M56" s="2898">
        <v>7046</v>
      </c>
      <c r="N56" s="2899"/>
      <c r="O56" s="2898">
        <f>VLOOKUP(M56,ASIGNATURAS!$F$1:$L$1022, 5, FALSE)</f>
        <v>6</v>
      </c>
      <c r="P56" s="2899"/>
      <c r="Q56" s="2642" t="str">
        <f>VLOOKUP(M56,ASIGNATURAS!$F$1:$L$1022, 6, FALSE)</f>
        <v>Alberto Estébanez</v>
      </c>
      <c r="R56" s="2643"/>
      <c r="S56" s="2643"/>
      <c r="T56" s="2643"/>
      <c r="U56" s="2643"/>
      <c r="V56" s="2643"/>
      <c r="W56" s="2643"/>
      <c r="X56" s="2643"/>
      <c r="Y56" s="2643"/>
      <c r="Z56" s="2643"/>
      <c r="AA56" s="2643"/>
      <c r="AB56" s="2643"/>
      <c r="AC56" s="2643"/>
      <c r="AD56" s="2643"/>
      <c r="AE56" s="2643"/>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156</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2894" t="s">
        <v>183</v>
      </c>
      <c r="B70" s="2842" t="s">
        <v>230</v>
      </c>
      <c r="C70" s="2842"/>
      <c r="D70" s="2842"/>
      <c r="E70" s="2842"/>
      <c r="F70" s="2842"/>
      <c r="G70" s="2843"/>
      <c r="H70" s="995" t="s">
        <v>925</v>
      </c>
      <c r="I70" s="995"/>
      <c r="J70" s="995"/>
      <c r="K70" s="995"/>
      <c r="L70" s="995"/>
      <c r="M70" s="2253"/>
      <c r="N70" s="2846" t="s">
        <v>27</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765"/>
      <c r="B71" s="2835" t="s">
        <v>156</v>
      </c>
      <c r="C71" s="2835"/>
      <c r="D71" s="2835"/>
      <c r="E71" s="2835"/>
      <c r="F71" s="2835"/>
      <c r="G71" s="2836"/>
      <c r="H71" s="952"/>
      <c r="I71" s="952"/>
      <c r="J71" s="952"/>
      <c r="K71" s="952"/>
      <c r="L71" s="952"/>
      <c r="M71" s="1047"/>
      <c r="N71" s="2850" t="s">
        <v>156</v>
      </c>
      <c r="O71" s="2850"/>
      <c r="P71" s="2850"/>
      <c r="Q71" s="2850"/>
      <c r="R71" s="2850"/>
      <c r="S71" s="2851"/>
      <c r="T71" s="952" t="s">
        <v>151</v>
      </c>
      <c r="U71" s="952"/>
      <c r="V71" s="952"/>
      <c r="W71" s="952"/>
      <c r="X71" s="952"/>
      <c r="Y71" s="1047"/>
      <c r="Z71" s="952" t="s">
        <v>151</v>
      </c>
      <c r="AA71" s="952"/>
      <c r="AB71" s="952"/>
      <c r="AC71" s="952"/>
      <c r="AD71" s="952"/>
      <c r="AE71" s="1047"/>
    </row>
    <row r="72" spans="1:47" ht="30" customHeight="1" x14ac:dyDescent="0.3">
      <c r="A72" s="2894" t="s">
        <v>182</v>
      </c>
      <c r="B72" s="2842" t="s">
        <v>230</v>
      </c>
      <c r="C72" s="2842"/>
      <c r="D72" s="2842"/>
      <c r="E72" s="2842"/>
      <c r="F72" s="2842"/>
      <c r="G72" s="2843"/>
      <c r="H72" s="995" t="s">
        <v>925</v>
      </c>
      <c r="I72" s="995"/>
      <c r="J72" s="995"/>
      <c r="K72" s="995"/>
      <c r="L72" s="995"/>
      <c r="M72" s="2253"/>
      <c r="N72" s="2846" t="s">
        <v>27</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765"/>
      <c r="B73" s="2835" t="s">
        <v>156</v>
      </c>
      <c r="C73" s="2835"/>
      <c r="D73" s="2835"/>
      <c r="E73" s="2835"/>
      <c r="F73" s="2835"/>
      <c r="G73" s="2836"/>
      <c r="H73" s="952"/>
      <c r="I73" s="952"/>
      <c r="J73" s="952"/>
      <c r="K73" s="952"/>
      <c r="L73" s="952"/>
      <c r="M73" s="1047"/>
      <c r="N73" s="2850" t="s">
        <v>156</v>
      </c>
      <c r="O73" s="2850"/>
      <c r="P73" s="2850"/>
      <c r="Q73" s="2850"/>
      <c r="R73" s="2850"/>
      <c r="S73" s="2851"/>
      <c r="T73" s="952" t="s">
        <v>151</v>
      </c>
      <c r="U73" s="952"/>
      <c r="V73" s="952"/>
      <c r="W73" s="952"/>
      <c r="X73" s="952"/>
      <c r="Y73" s="1047"/>
      <c r="Z73" s="952" t="s">
        <v>151</v>
      </c>
      <c r="AA73" s="952"/>
      <c r="AB73" s="952"/>
      <c r="AC73" s="952"/>
      <c r="AD73" s="952"/>
      <c r="AE73" s="1047"/>
    </row>
    <row r="74" spans="1:47" ht="30" customHeight="1" x14ac:dyDescent="0.3">
      <c r="A74" s="2894" t="s">
        <v>184</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995" t="s">
        <v>924</v>
      </c>
      <c r="AA74" s="995"/>
      <c r="AB74" s="995"/>
      <c r="AC74" s="995"/>
      <c r="AD74" s="995"/>
      <c r="AE74" s="2253"/>
    </row>
    <row r="75" spans="1:47" ht="30" customHeight="1" x14ac:dyDescent="0.25">
      <c r="A75" s="1765"/>
      <c r="B75" s="2835" t="s">
        <v>555</v>
      </c>
      <c r="C75" s="2835"/>
      <c r="D75" s="2835"/>
      <c r="E75" s="2835"/>
      <c r="F75" s="2835"/>
      <c r="G75" s="2836"/>
      <c r="H75" s="2853" t="s">
        <v>151</v>
      </c>
      <c r="I75" s="2853"/>
      <c r="J75" s="2853"/>
      <c r="K75" s="2853"/>
      <c r="L75" s="2853"/>
      <c r="M75" s="2854"/>
      <c r="N75" s="2835" t="s">
        <v>156</v>
      </c>
      <c r="O75" s="2835"/>
      <c r="P75" s="2835"/>
      <c r="Q75" s="2835"/>
      <c r="R75" s="2835"/>
      <c r="S75" s="2836"/>
      <c r="T75" s="2850" t="s">
        <v>156</v>
      </c>
      <c r="U75" s="2850"/>
      <c r="V75" s="2850"/>
      <c r="W75" s="2850"/>
      <c r="X75" s="2850"/>
      <c r="Y75" s="2851"/>
      <c r="Z75" s="952"/>
      <c r="AA75" s="952"/>
      <c r="AB75" s="952"/>
      <c r="AC75" s="952"/>
      <c r="AD75" s="952"/>
      <c r="AE75" s="1047"/>
    </row>
    <row r="76" spans="1:47" ht="30" customHeight="1" x14ac:dyDescent="0.3">
      <c r="A76" s="2894" t="s">
        <v>185</v>
      </c>
      <c r="B76" s="2837" t="s">
        <v>919</v>
      </c>
      <c r="C76" s="2837"/>
      <c r="D76" s="2837"/>
      <c r="E76" s="2837"/>
      <c r="F76" s="2837"/>
      <c r="G76" s="2838"/>
      <c r="H76" s="2848" t="s">
        <v>218</v>
      </c>
      <c r="I76" s="2848"/>
      <c r="J76" s="2848"/>
      <c r="K76" s="2848"/>
      <c r="L76" s="2848"/>
      <c r="M76" s="2849"/>
      <c r="N76" s="2842" t="s">
        <v>229</v>
      </c>
      <c r="O76" s="2842"/>
      <c r="P76" s="2842"/>
      <c r="Q76" s="2842"/>
      <c r="R76" s="2842"/>
      <c r="S76" s="2843"/>
      <c r="T76" s="2846" t="s">
        <v>228</v>
      </c>
      <c r="U76" s="2846"/>
      <c r="V76" s="2846"/>
      <c r="W76" s="2846"/>
      <c r="X76" s="2846"/>
      <c r="Y76" s="2847"/>
      <c r="Z76" s="995" t="s">
        <v>924</v>
      </c>
      <c r="AA76" s="995"/>
      <c r="AB76" s="995"/>
      <c r="AC76" s="995"/>
      <c r="AD76" s="995"/>
      <c r="AE76" s="2253"/>
    </row>
    <row r="77" spans="1:47" ht="30" customHeight="1" x14ac:dyDescent="0.25">
      <c r="A77" s="1765"/>
      <c r="B77" s="2835" t="s">
        <v>555</v>
      </c>
      <c r="C77" s="2835"/>
      <c r="D77" s="2835"/>
      <c r="E77" s="2835"/>
      <c r="F77" s="2835"/>
      <c r="G77" s="2836"/>
      <c r="H77" s="2853" t="s">
        <v>151</v>
      </c>
      <c r="I77" s="2853"/>
      <c r="J77" s="2853"/>
      <c r="K77" s="2853"/>
      <c r="L77" s="2853"/>
      <c r="M77" s="2854"/>
      <c r="N77" s="2835" t="s">
        <v>156</v>
      </c>
      <c r="O77" s="2835"/>
      <c r="P77" s="2835"/>
      <c r="Q77" s="2835"/>
      <c r="R77" s="2835"/>
      <c r="S77" s="2836"/>
      <c r="T77" s="2850" t="s">
        <v>156</v>
      </c>
      <c r="U77" s="2850"/>
      <c r="V77" s="2850"/>
      <c r="W77" s="2850"/>
      <c r="X77" s="2850"/>
      <c r="Y77" s="2851"/>
      <c r="Z77" s="952"/>
      <c r="AA77" s="952"/>
      <c r="AB77" s="952"/>
      <c r="AC77" s="952"/>
      <c r="AD77" s="952"/>
      <c r="AE77" s="1047"/>
    </row>
    <row r="78" spans="1:47" ht="30" customHeight="1" x14ac:dyDescent="0.3">
      <c r="A78" s="2894" t="s">
        <v>186</v>
      </c>
      <c r="B78" s="2844" t="s">
        <v>913</v>
      </c>
      <c r="C78" s="2844"/>
      <c r="D78" s="2844"/>
      <c r="E78" s="2844"/>
      <c r="F78" s="2844"/>
      <c r="G78" s="2845"/>
      <c r="H78" s="2826" t="s">
        <v>230</v>
      </c>
      <c r="I78" s="2827"/>
      <c r="J78" s="2832" t="s">
        <v>156</v>
      </c>
      <c r="K78" s="1166"/>
      <c r="L78" s="1166"/>
      <c r="M78" s="2895"/>
      <c r="N78" s="2844" t="s">
        <v>913</v>
      </c>
      <c r="O78" s="2844"/>
      <c r="P78" s="2844"/>
      <c r="Q78" s="2844"/>
      <c r="R78" s="2844"/>
      <c r="S78" s="2845"/>
      <c r="T78" s="2844" t="s">
        <v>27</v>
      </c>
      <c r="U78" s="2844"/>
      <c r="V78" s="2844"/>
      <c r="W78" s="2844"/>
      <c r="X78" s="2844"/>
      <c r="Y78" s="2845"/>
      <c r="Z78" s="2826" t="s">
        <v>1004</v>
      </c>
      <c r="AA78" s="2827"/>
      <c r="AB78" s="2832" t="s">
        <v>554</v>
      </c>
      <c r="AC78" s="1432" t="s">
        <v>914</v>
      </c>
      <c r="AD78" s="1435"/>
      <c r="AE78" s="2862"/>
    </row>
    <row r="79" spans="1:47" ht="30" customHeight="1" x14ac:dyDescent="0.25">
      <c r="A79" s="1765"/>
      <c r="B79" s="2850" t="s">
        <v>151</v>
      </c>
      <c r="C79" s="2850"/>
      <c r="D79" s="2850"/>
      <c r="E79" s="2850"/>
      <c r="F79" s="2850"/>
      <c r="G79" s="2851"/>
      <c r="H79" s="2828"/>
      <c r="I79" s="2829"/>
      <c r="J79" s="2833"/>
      <c r="K79" s="1166"/>
      <c r="L79" s="1166"/>
      <c r="M79" s="2895"/>
      <c r="N79" s="2850" t="s">
        <v>151</v>
      </c>
      <c r="O79" s="2850"/>
      <c r="P79" s="2850"/>
      <c r="Q79" s="2850"/>
      <c r="R79" s="2850"/>
      <c r="S79" s="2851"/>
      <c r="T79" s="2850" t="s">
        <v>156</v>
      </c>
      <c r="U79" s="2850"/>
      <c r="V79" s="2850"/>
      <c r="W79" s="2850"/>
      <c r="X79" s="2850"/>
      <c r="Y79" s="2851"/>
      <c r="Z79" s="2828"/>
      <c r="AA79" s="2829"/>
      <c r="AB79" s="2833"/>
      <c r="AC79" s="1433"/>
      <c r="AD79" s="1436"/>
      <c r="AE79" s="2863"/>
    </row>
    <row r="80" spans="1:47" ht="30" customHeight="1" x14ac:dyDescent="0.3">
      <c r="A80" s="2894" t="s">
        <v>187</v>
      </c>
      <c r="B80" s="2844" t="s">
        <v>913</v>
      </c>
      <c r="C80" s="2844"/>
      <c r="D80" s="2844"/>
      <c r="E80" s="2844"/>
      <c r="F80" s="2844"/>
      <c r="G80" s="2845"/>
      <c r="H80" s="2828"/>
      <c r="I80" s="2829"/>
      <c r="J80" s="2833"/>
      <c r="K80" s="1166"/>
      <c r="L80" s="1166"/>
      <c r="M80" s="2895"/>
      <c r="N80" s="2844" t="s">
        <v>913</v>
      </c>
      <c r="O80" s="2844"/>
      <c r="P80" s="2844"/>
      <c r="Q80" s="2844"/>
      <c r="R80" s="2844"/>
      <c r="S80" s="2845"/>
      <c r="T80" s="2846" t="s">
        <v>27</v>
      </c>
      <c r="U80" s="2846"/>
      <c r="V80" s="2846"/>
      <c r="W80" s="2846"/>
      <c r="X80" s="2846"/>
      <c r="Y80" s="2847"/>
      <c r="Z80" s="2828"/>
      <c r="AA80" s="2829"/>
      <c r="AB80" s="2833"/>
      <c r="AC80" s="1433"/>
      <c r="AD80" s="1436"/>
      <c r="AE80" s="2863"/>
    </row>
    <row r="81" spans="1:31" ht="30" customHeight="1" x14ac:dyDescent="0.25">
      <c r="A81" s="1765"/>
      <c r="B81" s="2850" t="s">
        <v>151</v>
      </c>
      <c r="C81" s="2850"/>
      <c r="D81" s="2850"/>
      <c r="E81" s="2850"/>
      <c r="F81" s="2850"/>
      <c r="G81" s="2851"/>
      <c r="H81" s="2830"/>
      <c r="I81" s="2831"/>
      <c r="J81" s="2834"/>
      <c r="K81" s="1397"/>
      <c r="L81" s="1397"/>
      <c r="M81" s="2896"/>
      <c r="N81" s="2850" t="s">
        <v>151</v>
      </c>
      <c r="O81" s="2850"/>
      <c r="P81" s="2850"/>
      <c r="Q81" s="2850"/>
      <c r="R81" s="2850"/>
      <c r="S81" s="2851"/>
      <c r="T81" s="2850" t="s">
        <v>156</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1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1243</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1238</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1271</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1244</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1245</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2913"/>
    </row>
    <row r="87" spans="1:5" x14ac:dyDescent="0.25">
      <c r="A87" s="77" t="s">
        <v>659</v>
      </c>
      <c r="E87" s="2913"/>
    </row>
    <row r="88" spans="1:5" x14ac:dyDescent="0.25">
      <c r="A88" s="77" t="s">
        <v>559</v>
      </c>
      <c r="E88" s="2913"/>
    </row>
    <row r="89" spans="1:5" x14ac:dyDescent="0.25">
      <c r="A89" s="77" t="s">
        <v>1248</v>
      </c>
      <c r="E89" s="2913"/>
    </row>
    <row r="90" spans="1:5" x14ac:dyDescent="0.25">
      <c r="A90" s="77" t="s">
        <v>1251</v>
      </c>
      <c r="E90" s="2913"/>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6" t="s">
        <v>671</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64" s="8" customFormat="1" ht="23.25" customHeight="1" x14ac:dyDescent="0.4">
      <c r="A2" s="2291" t="s">
        <v>616</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912" t="s">
        <v>148</v>
      </c>
      <c r="AA2" s="2279"/>
      <c r="AB2" s="2279"/>
      <c r="AC2" s="2279"/>
      <c r="AD2" s="2279"/>
      <c r="AE2" s="2280"/>
    </row>
    <row r="3" spans="1:64"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64" ht="38.25" customHeight="1" thickBot="1" x14ac:dyDescent="0.3">
      <c r="A4" s="9" t="s">
        <v>698</v>
      </c>
    </row>
    <row r="5" spans="1:64" s="2" customFormat="1" ht="24" customHeight="1" thickBot="1" x14ac:dyDescent="0.3">
      <c r="A5" s="165" t="s">
        <v>1</v>
      </c>
      <c r="B5" s="2286" t="s">
        <v>2</v>
      </c>
      <c r="C5" s="2287"/>
      <c r="D5" s="2287"/>
      <c r="E5" s="2287"/>
      <c r="F5" s="2287"/>
      <c r="G5" s="2288"/>
      <c r="H5" s="2286" t="s">
        <v>3</v>
      </c>
      <c r="I5" s="2287"/>
      <c r="J5" s="2287"/>
      <c r="K5" s="2287"/>
      <c r="L5" s="2287"/>
      <c r="M5" s="2288"/>
      <c r="N5" s="2286" t="s">
        <v>135</v>
      </c>
      <c r="O5" s="2287"/>
      <c r="P5" s="2287"/>
      <c r="Q5" s="2287"/>
      <c r="R5" s="2287"/>
      <c r="S5" s="2288"/>
      <c r="T5" s="2286" t="s">
        <v>4</v>
      </c>
      <c r="U5" s="2287"/>
      <c r="V5" s="2287"/>
      <c r="W5" s="2287"/>
      <c r="X5" s="2287"/>
      <c r="Y5" s="2288"/>
      <c r="Z5" s="2284" t="s">
        <v>5</v>
      </c>
      <c r="AA5" s="2284"/>
      <c r="AB5" s="2284"/>
      <c r="AC5" s="2284"/>
      <c r="AD5" s="2284"/>
      <c r="AE5" s="2285"/>
    </row>
    <row r="6" spans="1:64" ht="30" customHeight="1" x14ac:dyDescent="0.3">
      <c r="A6" s="2992" t="s">
        <v>10</v>
      </c>
      <c r="B6" s="1398" t="s">
        <v>909</v>
      </c>
      <c r="C6" s="1089" t="s">
        <v>571</v>
      </c>
      <c r="D6" s="2931" t="s">
        <v>1054</v>
      </c>
      <c r="E6" s="2940"/>
      <c r="F6" s="1394"/>
      <c r="G6" s="3006"/>
      <c r="H6" s="1151" t="s">
        <v>1038</v>
      </c>
      <c r="I6" s="938" t="s">
        <v>569</v>
      </c>
      <c r="J6" s="2931" t="s">
        <v>1055</v>
      </c>
      <c r="K6" s="2942" t="s">
        <v>926</v>
      </c>
      <c r="L6" s="938" t="s">
        <v>570</v>
      </c>
      <c r="M6" s="2936" t="s">
        <v>735</v>
      </c>
      <c r="N6" s="963" t="s">
        <v>909</v>
      </c>
      <c r="O6" s="957"/>
      <c r="P6" s="957"/>
      <c r="Q6" s="957"/>
      <c r="R6" s="957"/>
      <c r="S6" s="958"/>
      <c r="T6" s="2942" t="s">
        <v>997</v>
      </c>
      <c r="U6" s="938" t="s">
        <v>571</v>
      </c>
      <c r="V6" s="1051" t="s">
        <v>1028</v>
      </c>
      <c r="W6" s="2942" t="s">
        <v>909</v>
      </c>
      <c r="X6" s="938" t="s">
        <v>570</v>
      </c>
      <c r="Y6" s="1533" t="s">
        <v>1056</v>
      </c>
      <c r="Z6" s="1490" t="s">
        <v>673</v>
      </c>
      <c r="AA6" s="1089" t="s">
        <v>571</v>
      </c>
      <c r="AB6" s="1424" t="s">
        <v>695</v>
      </c>
      <c r="AC6" s="2707"/>
      <c r="AD6" s="2708"/>
      <c r="AE6" s="3005"/>
    </row>
    <row r="7" spans="1:64" ht="30" customHeight="1" x14ac:dyDescent="0.3">
      <c r="A7" s="2993"/>
      <c r="B7" s="1398"/>
      <c r="C7" s="938"/>
      <c r="D7" s="2932"/>
      <c r="E7" s="2941"/>
      <c r="F7" s="1394"/>
      <c r="G7" s="3007"/>
      <c r="H7" s="1151"/>
      <c r="I7" s="938"/>
      <c r="J7" s="2932"/>
      <c r="K7" s="1287"/>
      <c r="L7" s="938"/>
      <c r="M7" s="1184"/>
      <c r="N7" s="2943" t="s">
        <v>810</v>
      </c>
      <c r="O7" s="2944"/>
      <c r="P7" s="2944"/>
      <c r="Q7" s="2944"/>
      <c r="R7" s="2944"/>
      <c r="S7" s="2945"/>
      <c r="T7" s="1287"/>
      <c r="U7" s="938"/>
      <c r="V7" s="1334"/>
      <c r="W7" s="1287"/>
      <c r="X7" s="938"/>
      <c r="Y7" s="938"/>
      <c r="Z7" s="1075"/>
      <c r="AA7" s="938"/>
      <c r="AB7" s="1182"/>
      <c r="AC7" s="1713"/>
      <c r="AD7" s="1166"/>
      <c r="AE7" s="1649"/>
      <c r="AI7" s="1151"/>
      <c r="AJ7" s="938"/>
      <c r="AK7" s="2931"/>
      <c r="AL7" s="2933"/>
      <c r="AM7" s="1394"/>
      <c r="AN7" s="2935"/>
      <c r="AO7" s="378"/>
      <c r="AP7" s="2931"/>
      <c r="AQ7" s="378"/>
      <c r="AR7" s="1334"/>
      <c r="AS7" s="523"/>
      <c r="AT7" s="1334"/>
      <c r="AU7" s="995"/>
      <c r="AV7" s="995"/>
      <c r="AW7" s="995"/>
      <c r="AX7" s="995"/>
      <c r="AY7" s="995"/>
      <c r="AZ7" s="995"/>
      <c r="BA7" s="84"/>
      <c r="BB7" s="84"/>
      <c r="BC7" s="84"/>
      <c r="BD7" s="2933"/>
      <c r="BE7" s="1394"/>
      <c r="BF7" s="2935"/>
      <c r="BG7" s="938"/>
      <c r="BH7" s="938"/>
      <c r="BI7" s="1711"/>
      <c r="BJ7" s="1166"/>
      <c r="BK7" s="1166"/>
      <c r="BL7" s="1715"/>
    </row>
    <row r="8" spans="1:64" ht="30" customHeight="1" x14ac:dyDescent="0.3">
      <c r="A8" s="2992" t="s">
        <v>11</v>
      </c>
      <c r="B8" s="1398"/>
      <c r="C8" s="938"/>
      <c r="D8" s="2932"/>
      <c r="E8" s="2941"/>
      <c r="F8" s="1394"/>
      <c r="G8" s="3007"/>
      <c r="H8" s="1151"/>
      <c r="I8" s="938"/>
      <c r="J8" s="2932"/>
      <c r="K8" s="1287"/>
      <c r="L8" s="938"/>
      <c r="M8" s="1184"/>
      <c r="N8" s="963" t="s">
        <v>673</v>
      </c>
      <c r="O8" s="957"/>
      <c r="P8" s="957"/>
      <c r="Q8" s="957"/>
      <c r="R8" s="957"/>
      <c r="S8" s="958"/>
      <c r="T8" s="1287"/>
      <c r="U8" s="938"/>
      <c r="V8" s="1334"/>
      <c r="W8" s="1287"/>
      <c r="X8" s="938"/>
      <c r="Y8" s="938"/>
      <c r="Z8" s="1075"/>
      <c r="AA8" s="938"/>
      <c r="AB8" s="1182"/>
      <c r="AC8" s="1713"/>
      <c r="AD8" s="1166"/>
      <c r="AE8" s="1649"/>
      <c r="AI8" s="1151"/>
      <c r="AJ8" s="938"/>
      <c r="AK8" s="2932"/>
      <c r="AL8" s="2933"/>
      <c r="AM8" s="1394"/>
      <c r="AN8" s="2935"/>
      <c r="AO8" s="938"/>
      <c r="AP8" s="2932"/>
      <c r="AQ8" s="938"/>
      <c r="AR8" s="1334"/>
      <c r="AS8" s="938"/>
      <c r="AT8" s="1334"/>
      <c r="AU8" s="997"/>
      <c r="AV8" s="997"/>
      <c r="AW8" s="997"/>
      <c r="AX8" s="997"/>
      <c r="AY8" s="997"/>
      <c r="AZ8" s="997"/>
      <c r="BA8" s="296"/>
      <c r="BB8" s="296"/>
      <c r="BC8" s="296"/>
      <c r="BD8" s="2933"/>
      <c r="BE8" s="1394"/>
      <c r="BF8" s="2935"/>
      <c r="BG8" s="938"/>
      <c r="BH8" s="938"/>
      <c r="BI8" s="1711"/>
      <c r="BJ8" s="1166"/>
      <c r="BK8" s="1166"/>
      <c r="BL8" s="1715"/>
    </row>
    <row r="9" spans="1:64" ht="30" customHeight="1" x14ac:dyDescent="0.3">
      <c r="A9" s="2993"/>
      <c r="B9" s="1398"/>
      <c r="C9" s="938"/>
      <c r="D9" s="2932"/>
      <c r="E9" s="2941"/>
      <c r="F9" s="1394"/>
      <c r="G9" s="3008"/>
      <c r="H9" s="1151"/>
      <c r="I9" s="938"/>
      <c r="J9" s="2932"/>
      <c r="K9" s="1558"/>
      <c r="L9" s="938"/>
      <c r="M9" s="1184"/>
      <c r="N9" s="2943" t="s">
        <v>810</v>
      </c>
      <c r="O9" s="2944"/>
      <c r="P9" s="2944"/>
      <c r="Q9" s="2944"/>
      <c r="R9" s="2944"/>
      <c r="S9" s="2945"/>
      <c r="T9" s="1287"/>
      <c r="U9" s="938"/>
      <c r="V9" s="1334"/>
      <c r="W9" s="1287"/>
      <c r="X9" s="938"/>
      <c r="Y9" s="938"/>
      <c r="Z9" s="1075"/>
      <c r="AA9" s="938"/>
      <c r="AB9" s="1182"/>
      <c r="AC9" s="1713"/>
      <c r="AD9" s="1166"/>
      <c r="AE9" s="1649"/>
      <c r="AI9" s="1151"/>
      <c r="AJ9" s="938"/>
      <c r="AK9" s="2932"/>
      <c r="AL9" s="2933"/>
      <c r="AM9" s="1394"/>
      <c r="AN9" s="2935"/>
      <c r="AO9" s="938"/>
      <c r="AP9" s="2932"/>
      <c r="AQ9" s="938"/>
      <c r="AR9" s="1334"/>
      <c r="AS9" s="938"/>
      <c r="AT9" s="1334"/>
      <c r="AU9" s="995"/>
      <c r="AV9" s="995"/>
      <c r="AW9" s="995"/>
      <c r="AX9" s="995"/>
      <c r="AY9" s="995"/>
      <c r="AZ9" s="995"/>
      <c r="BA9" s="20"/>
      <c r="BB9" s="20"/>
      <c r="BC9" s="20"/>
      <c r="BD9" s="2933"/>
      <c r="BE9" s="1394"/>
      <c r="BF9" s="2935"/>
      <c r="BG9" s="938"/>
      <c r="BH9" s="938"/>
      <c r="BI9" s="1711"/>
      <c r="BJ9" s="1166"/>
      <c r="BK9" s="1166"/>
      <c r="BL9" s="1715"/>
    </row>
    <row r="10" spans="1:64" ht="30" customHeight="1" x14ac:dyDescent="0.3">
      <c r="A10" s="2992" t="s">
        <v>6</v>
      </c>
      <c r="B10" s="963" t="s">
        <v>673</v>
      </c>
      <c r="C10" s="957"/>
      <c r="D10" s="957"/>
      <c r="E10" s="957"/>
      <c r="F10" s="957"/>
      <c r="G10" s="958"/>
      <c r="H10" s="963" t="s">
        <v>926</v>
      </c>
      <c r="I10" s="957"/>
      <c r="J10" s="957"/>
      <c r="K10" s="957"/>
      <c r="L10" s="957"/>
      <c r="M10" s="958"/>
      <c r="N10" s="963" t="s">
        <v>1038</v>
      </c>
      <c r="O10" s="957"/>
      <c r="P10" s="957"/>
      <c r="Q10" s="957"/>
      <c r="R10" s="957"/>
      <c r="S10" s="958"/>
      <c r="T10" s="963" t="s">
        <v>926</v>
      </c>
      <c r="U10" s="957"/>
      <c r="V10" s="957"/>
      <c r="W10" s="957"/>
      <c r="X10" s="957"/>
      <c r="Y10" s="958"/>
      <c r="Z10" s="1075"/>
      <c r="AA10" s="938"/>
      <c r="AB10" s="1182"/>
      <c r="AC10" s="1713"/>
      <c r="AD10" s="1166"/>
      <c r="AE10" s="1649"/>
      <c r="AI10" s="1151"/>
      <c r="AJ10" s="938"/>
      <c r="AK10" s="2932"/>
      <c r="AL10" s="2933"/>
      <c r="AM10" s="1394"/>
      <c r="AN10" s="2935"/>
      <c r="AO10" s="938"/>
      <c r="AP10" s="2932"/>
      <c r="AQ10" s="938"/>
      <c r="AR10" s="1334"/>
      <c r="AS10" s="938"/>
      <c r="AT10" s="1334"/>
      <c r="AU10" s="997"/>
      <c r="AV10" s="997"/>
      <c r="AW10" s="997"/>
      <c r="AX10" s="997"/>
      <c r="AY10" s="997"/>
      <c r="AZ10" s="997"/>
      <c r="BA10" s="20"/>
      <c r="BB10" s="20"/>
      <c r="BC10" s="20"/>
      <c r="BD10" s="2933"/>
      <c r="BE10" s="1394"/>
      <c r="BF10" s="2935"/>
      <c r="BG10" s="938"/>
      <c r="BH10" s="938"/>
      <c r="BI10" s="1711"/>
      <c r="BJ10" s="1166"/>
      <c r="BK10" s="1166"/>
      <c r="BL10" s="1715"/>
    </row>
    <row r="11" spans="1:64" ht="30" customHeight="1" x14ac:dyDescent="0.3">
      <c r="A11" s="2993"/>
      <c r="B11" s="951" t="s">
        <v>148</v>
      </c>
      <c r="C11" s="952"/>
      <c r="D11" s="952"/>
      <c r="E11" s="952"/>
      <c r="F11" s="952"/>
      <c r="G11" s="953"/>
      <c r="H11" s="951" t="s">
        <v>148</v>
      </c>
      <c r="I11" s="952"/>
      <c r="J11" s="952"/>
      <c r="K11" s="952"/>
      <c r="L11" s="952"/>
      <c r="M11" s="953"/>
      <c r="N11" s="951" t="s">
        <v>148</v>
      </c>
      <c r="O11" s="952"/>
      <c r="P11" s="952"/>
      <c r="Q11" s="952"/>
      <c r="R11" s="952"/>
      <c r="S11" s="953"/>
      <c r="T11" s="951" t="s">
        <v>148</v>
      </c>
      <c r="U11" s="952"/>
      <c r="V11" s="952"/>
      <c r="W11" s="952"/>
      <c r="X11" s="952"/>
      <c r="Y11" s="953"/>
      <c r="Z11" s="1265"/>
      <c r="AA11" s="1053"/>
      <c r="AB11" s="1425"/>
      <c r="AC11" s="1713"/>
      <c r="AD11" s="1166"/>
      <c r="AE11" s="1708"/>
      <c r="AI11" s="995"/>
      <c r="AJ11" s="995"/>
      <c r="AK11" s="995"/>
      <c r="AL11" s="995"/>
      <c r="AM11" s="995"/>
      <c r="AN11" s="995"/>
      <c r="AO11" s="995"/>
      <c r="AP11" s="995"/>
      <c r="AQ11" s="995"/>
      <c r="AR11" s="995"/>
      <c r="AS11" s="995"/>
      <c r="AT11" s="995"/>
      <c r="AU11" s="995"/>
      <c r="AV11" s="995"/>
      <c r="AW11" s="995"/>
      <c r="AX11" s="995"/>
      <c r="AY11" s="995"/>
      <c r="AZ11" s="995"/>
      <c r="BA11" s="995"/>
      <c r="BB11" s="995"/>
      <c r="BC11" s="995"/>
      <c r="BD11" s="995"/>
      <c r="BE11" s="995"/>
      <c r="BF11" s="995"/>
      <c r="BG11" s="938"/>
      <c r="BH11" s="938"/>
      <c r="BI11" s="1711"/>
      <c r="BJ11" s="1166"/>
      <c r="BK11" s="1166"/>
      <c r="BL11" s="1715"/>
    </row>
    <row r="12" spans="1:64" ht="30" customHeight="1" x14ac:dyDescent="0.3">
      <c r="A12" s="2992" t="s">
        <v>7</v>
      </c>
      <c r="B12" s="963" t="s">
        <v>997</v>
      </c>
      <c r="C12" s="957"/>
      <c r="D12" s="957"/>
      <c r="E12" s="957"/>
      <c r="F12" s="957"/>
      <c r="G12" s="958"/>
      <c r="H12" s="963" t="s">
        <v>1038</v>
      </c>
      <c r="I12" s="957"/>
      <c r="J12" s="957"/>
      <c r="K12" s="957"/>
      <c r="L12" s="957"/>
      <c r="M12" s="958"/>
      <c r="N12" s="963" t="s">
        <v>909</v>
      </c>
      <c r="O12" s="957"/>
      <c r="P12" s="957"/>
      <c r="Q12" s="957"/>
      <c r="R12" s="957"/>
      <c r="S12" s="958"/>
      <c r="T12" s="963" t="s">
        <v>997</v>
      </c>
      <c r="U12" s="957"/>
      <c r="V12" s="957"/>
      <c r="W12" s="957"/>
      <c r="X12" s="957"/>
      <c r="Y12" s="958"/>
      <c r="Z12" s="1422"/>
      <c r="AA12" s="1166"/>
      <c r="AB12" s="1739"/>
      <c r="AC12" s="1408" t="s">
        <v>673</v>
      </c>
      <c r="AD12" s="1223" t="s">
        <v>569</v>
      </c>
      <c r="AE12" s="3009" t="s">
        <v>695</v>
      </c>
      <c r="AI12" s="997"/>
      <c r="AJ12" s="997"/>
      <c r="AK12" s="997"/>
      <c r="AL12" s="997"/>
      <c r="AM12" s="997"/>
      <c r="AN12" s="997"/>
      <c r="AO12" s="997"/>
      <c r="AP12" s="997"/>
      <c r="AQ12" s="997"/>
      <c r="AR12" s="997"/>
      <c r="AS12" s="997"/>
      <c r="AT12" s="997"/>
      <c r="AU12" s="997"/>
      <c r="AV12" s="997"/>
      <c r="AW12" s="997"/>
      <c r="AX12" s="997"/>
      <c r="AY12" s="997"/>
      <c r="AZ12" s="997"/>
      <c r="BA12" s="997"/>
      <c r="BB12" s="997"/>
      <c r="BC12" s="997"/>
      <c r="BD12" s="997"/>
      <c r="BE12" s="997"/>
      <c r="BF12" s="997"/>
      <c r="BG12" s="938"/>
      <c r="BH12" s="938"/>
      <c r="BI12" s="1711"/>
      <c r="BJ12" s="1166"/>
      <c r="BK12" s="1166"/>
      <c r="BL12" s="1715"/>
    </row>
    <row r="13" spans="1:64" ht="30" customHeight="1" x14ac:dyDescent="0.3">
      <c r="A13" s="2993"/>
      <c r="B13" s="951" t="s">
        <v>148</v>
      </c>
      <c r="C13" s="952"/>
      <c r="D13" s="952"/>
      <c r="E13" s="952"/>
      <c r="F13" s="952"/>
      <c r="G13" s="953"/>
      <c r="H13" s="951" t="s">
        <v>148</v>
      </c>
      <c r="I13" s="952"/>
      <c r="J13" s="952"/>
      <c r="K13" s="952"/>
      <c r="L13" s="952"/>
      <c r="M13" s="953"/>
      <c r="N13" s="951" t="s">
        <v>148</v>
      </c>
      <c r="O13" s="952"/>
      <c r="P13" s="952"/>
      <c r="Q13" s="952"/>
      <c r="R13" s="952"/>
      <c r="S13" s="953"/>
      <c r="T13" s="951" t="s">
        <v>148</v>
      </c>
      <c r="U13" s="952"/>
      <c r="V13" s="952"/>
      <c r="W13" s="952"/>
      <c r="X13" s="952"/>
      <c r="Y13" s="953"/>
      <c r="Z13" s="1423"/>
      <c r="AA13" s="1166"/>
      <c r="AB13" s="1666"/>
      <c r="AC13" s="1289"/>
      <c r="AD13" s="938"/>
      <c r="AE13" s="989"/>
      <c r="AI13" s="995"/>
      <c r="AJ13" s="995"/>
      <c r="AK13" s="995"/>
      <c r="AL13" s="995"/>
      <c r="AM13" s="995"/>
      <c r="AN13" s="995"/>
      <c r="AO13" s="995"/>
      <c r="AP13" s="995"/>
      <c r="AQ13" s="995"/>
      <c r="AR13" s="995"/>
      <c r="AS13" s="995"/>
      <c r="AT13" s="995"/>
      <c r="AU13" s="995"/>
      <c r="AV13" s="995"/>
      <c r="AW13" s="995"/>
      <c r="AX13" s="995"/>
      <c r="AY13" s="995"/>
      <c r="AZ13" s="995"/>
      <c r="BA13" s="995"/>
      <c r="BB13" s="995"/>
      <c r="BC13" s="995"/>
      <c r="BD13" s="995"/>
      <c r="BE13" s="995"/>
      <c r="BF13" s="995"/>
      <c r="BG13" s="1166"/>
      <c r="BH13" s="1166"/>
      <c r="BI13" s="1715"/>
      <c r="BJ13" s="938"/>
      <c r="BK13" s="938"/>
      <c r="BL13" s="1711"/>
    </row>
    <row r="14" spans="1:64" ht="30" customHeight="1" x14ac:dyDescent="0.25">
      <c r="A14" s="2992" t="s">
        <v>8</v>
      </c>
      <c r="B14" s="1398" t="s">
        <v>909</v>
      </c>
      <c r="C14" s="938" t="s">
        <v>569</v>
      </c>
      <c r="D14" s="3012" t="s">
        <v>1058</v>
      </c>
      <c r="E14" s="1151" t="s">
        <v>997</v>
      </c>
      <c r="F14" s="938" t="s">
        <v>570</v>
      </c>
      <c r="G14" s="1334" t="s">
        <v>152</v>
      </c>
      <c r="H14" s="1398" t="s">
        <v>926</v>
      </c>
      <c r="I14" s="938" t="s">
        <v>569</v>
      </c>
      <c r="J14" s="1051" t="s">
        <v>735</v>
      </c>
      <c r="K14" s="1287" t="s">
        <v>1038</v>
      </c>
      <c r="L14" s="938" t="s">
        <v>571</v>
      </c>
      <c r="M14" s="2937" t="s">
        <v>1057</v>
      </c>
      <c r="N14" s="69"/>
      <c r="O14" s="1149"/>
      <c r="P14" s="1357"/>
      <c r="Q14" s="1287" t="s">
        <v>1038</v>
      </c>
      <c r="R14" s="938" t="s">
        <v>570</v>
      </c>
      <c r="S14" s="3015" t="s">
        <v>1057</v>
      </c>
      <c r="T14" s="1398" t="s">
        <v>997</v>
      </c>
      <c r="U14" s="938" t="s">
        <v>569</v>
      </c>
      <c r="V14" s="1334" t="s">
        <v>152</v>
      </c>
      <c r="W14" s="1287" t="s">
        <v>926</v>
      </c>
      <c r="X14" s="938" t="s">
        <v>571</v>
      </c>
      <c r="Y14" s="1334" t="s">
        <v>734</v>
      </c>
      <c r="Z14" s="1423"/>
      <c r="AA14" s="1166"/>
      <c r="AB14" s="1666"/>
      <c r="AC14" s="1289"/>
      <c r="AD14" s="938"/>
      <c r="AE14" s="989"/>
      <c r="AI14" s="997"/>
      <c r="AJ14" s="997"/>
      <c r="AK14" s="997"/>
      <c r="AL14" s="997"/>
      <c r="AM14" s="997"/>
      <c r="AN14" s="997"/>
      <c r="AO14" s="997"/>
      <c r="AP14" s="997"/>
      <c r="AQ14" s="997"/>
      <c r="AR14" s="997"/>
      <c r="AS14" s="997"/>
      <c r="AT14" s="997"/>
      <c r="AU14" s="997"/>
      <c r="AV14" s="997"/>
      <c r="AW14" s="997"/>
      <c r="AX14" s="997"/>
      <c r="AY14" s="997"/>
      <c r="AZ14" s="997"/>
      <c r="BA14" s="997"/>
      <c r="BB14" s="997"/>
      <c r="BC14" s="997"/>
      <c r="BD14" s="997"/>
      <c r="BE14" s="997"/>
      <c r="BF14" s="997"/>
      <c r="BG14" s="1166"/>
      <c r="BH14" s="1166"/>
      <c r="BI14" s="1715"/>
      <c r="BJ14" s="938"/>
      <c r="BK14" s="938"/>
      <c r="BL14" s="1711"/>
    </row>
    <row r="15" spans="1:64" ht="30" customHeight="1" x14ac:dyDescent="0.25">
      <c r="A15" s="2993"/>
      <c r="B15" s="1398"/>
      <c r="C15" s="938"/>
      <c r="D15" s="3013"/>
      <c r="E15" s="1151"/>
      <c r="F15" s="938"/>
      <c r="G15" s="1334"/>
      <c r="H15" s="1398"/>
      <c r="I15" s="938"/>
      <c r="J15" s="1051"/>
      <c r="K15" s="1287"/>
      <c r="L15" s="938"/>
      <c r="M15" s="2938"/>
      <c r="N15" s="1166"/>
      <c r="O15" s="1149"/>
      <c r="P15" s="1357"/>
      <c r="Q15" s="1287"/>
      <c r="R15" s="938"/>
      <c r="S15" s="3013"/>
      <c r="T15" s="1398"/>
      <c r="U15" s="938"/>
      <c r="V15" s="1334"/>
      <c r="W15" s="1287"/>
      <c r="X15" s="938"/>
      <c r="Y15" s="1334"/>
      <c r="Z15" s="1423"/>
      <c r="AA15" s="1166"/>
      <c r="AB15" s="1666"/>
      <c r="AC15" s="1289"/>
      <c r="AD15" s="938"/>
      <c r="AE15" s="989"/>
      <c r="AI15" s="378"/>
      <c r="AJ15" s="2931"/>
      <c r="AK15" s="378"/>
      <c r="AL15" s="1334"/>
      <c r="AM15" s="523"/>
      <c r="AN15" s="1334"/>
      <c r="AO15" s="1151"/>
      <c r="AP15" s="938"/>
      <c r="AQ15" s="1334"/>
      <c r="AR15" s="2933"/>
      <c r="AS15" s="1394"/>
      <c r="AT15" s="2934"/>
      <c r="AU15" s="1151"/>
      <c r="AV15" s="1394"/>
      <c r="AW15" s="1334"/>
      <c r="AX15" s="1151"/>
      <c r="AY15" s="938"/>
      <c r="AZ15" s="2931"/>
      <c r="BA15" s="1151"/>
      <c r="BB15" s="938"/>
      <c r="BC15" s="1334"/>
      <c r="BD15" s="1151"/>
      <c r="BE15" s="1394"/>
      <c r="BF15" s="1334"/>
      <c r="BG15" s="1166"/>
      <c r="BH15" s="1166"/>
      <c r="BI15" s="1715"/>
      <c r="BJ15" s="938"/>
      <c r="BK15" s="938"/>
      <c r="BL15" s="1711"/>
    </row>
    <row r="16" spans="1:64" ht="30" customHeight="1" x14ac:dyDescent="0.25">
      <c r="A16" s="2992" t="s">
        <v>9</v>
      </c>
      <c r="B16" s="1398"/>
      <c r="C16" s="938"/>
      <c r="D16" s="3013"/>
      <c r="E16" s="1151"/>
      <c r="F16" s="938"/>
      <c r="G16" s="1334"/>
      <c r="H16" s="1398"/>
      <c r="I16" s="938"/>
      <c r="J16" s="1051"/>
      <c r="K16" s="1287"/>
      <c r="L16" s="938"/>
      <c r="M16" s="2938"/>
      <c r="N16" s="1166"/>
      <c r="O16" s="1149"/>
      <c r="P16" s="1357"/>
      <c r="Q16" s="1287"/>
      <c r="R16" s="938"/>
      <c r="S16" s="3013"/>
      <c r="T16" s="1398"/>
      <c r="U16" s="938"/>
      <c r="V16" s="1334"/>
      <c r="W16" s="1287"/>
      <c r="X16" s="938"/>
      <c r="Y16" s="1334"/>
      <c r="Z16" s="1423"/>
      <c r="AA16" s="1166"/>
      <c r="AB16" s="1666"/>
      <c r="AC16" s="1289"/>
      <c r="AD16" s="938"/>
      <c r="AE16" s="989"/>
      <c r="AI16" s="938"/>
      <c r="AJ16" s="2932"/>
      <c r="AK16" s="938"/>
      <c r="AL16" s="1334"/>
      <c r="AM16" s="938"/>
      <c r="AN16" s="1334"/>
      <c r="AO16" s="1151"/>
      <c r="AP16" s="938"/>
      <c r="AQ16" s="1334"/>
      <c r="AR16" s="2933"/>
      <c r="AS16" s="1394"/>
      <c r="AT16" s="1394"/>
      <c r="AU16" s="1151"/>
      <c r="AV16" s="1394"/>
      <c r="AW16" s="1334"/>
      <c r="AX16" s="1151"/>
      <c r="AY16" s="938"/>
      <c r="AZ16" s="2932"/>
      <c r="BA16" s="1151"/>
      <c r="BB16" s="938"/>
      <c r="BC16" s="1334"/>
      <c r="BD16" s="1151"/>
      <c r="BE16" s="1394"/>
      <c r="BF16" s="1334"/>
      <c r="BG16" s="1166"/>
      <c r="BH16" s="1166"/>
      <c r="BI16" s="1715"/>
      <c r="BJ16" s="938"/>
      <c r="BK16" s="938"/>
      <c r="BL16" s="1711"/>
    </row>
    <row r="17" spans="1:64" ht="30" customHeight="1" thickBot="1" x14ac:dyDescent="0.3">
      <c r="A17" s="2993"/>
      <c r="B17" s="1398"/>
      <c r="C17" s="938"/>
      <c r="D17" s="3014"/>
      <c r="E17" s="3011"/>
      <c r="F17" s="938"/>
      <c r="G17" s="1646"/>
      <c r="H17" s="1398"/>
      <c r="I17" s="938"/>
      <c r="J17" s="1485"/>
      <c r="K17" s="1288"/>
      <c r="L17" s="938"/>
      <c r="M17" s="2939"/>
      <c r="N17" s="1167"/>
      <c r="O17" s="1149"/>
      <c r="P17" s="1519"/>
      <c r="Q17" s="1288"/>
      <c r="R17" s="938"/>
      <c r="S17" s="3013"/>
      <c r="T17" s="1578"/>
      <c r="U17" s="938"/>
      <c r="V17" s="1646"/>
      <c r="W17" s="1558"/>
      <c r="X17" s="1053"/>
      <c r="Y17" s="1334"/>
      <c r="Z17" s="1480"/>
      <c r="AA17" s="1167"/>
      <c r="AB17" s="1667"/>
      <c r="AC17" s="1409"/>
      <c r="AD17" s="1393"/>
      <c r="AE17" s="3010"/>
      <c r="AI17" s="938"/>
      <c r="AJ17" s="2932"/>
      <c r="AK17" s="938"/>
      <c r="AL17" s="1334"/>
      <c r="AM17" s="938"/>
      <c r="AN17" s="1334"/>
      <c r="AO17" s="1151"/>
      <c r="AP17" s="938"/>
      <c r="AQ17" s="1334"/>
      <c r="AR17" s="2933"/>
      <c r="AS17" s="1394"/>
      <c r="AT17" s="1394"/>
      <c r="AU17" s="1151"/>
      <c r="AV17" s="1394"/>
      <c r="AW17" s="1334"/>
      <c r="AX17" s="1151"/>
      <c r="AY17" s="938"/>
      <c r="AZ17" s="2932"/>
      <c r="BA17" s="1151"/>
      <c r="BB17" s="938"/>
      <c r="BC17" s="1334"/>
      <c r="BD17" s="1151"/>
      <c r="BE17" s="1394"/>
      <c r="BF17" s="1334"/>
      <c r="BG17" s="1166"/>
      <c r="BH17" s="1166"/>
      <c r="BI17" s="1715"/>
      <c r="BJ17" s="938"/>
      <c r="BK17" s="938"/>
      <c r="BL17" s="1711"/>
    </row>
    <row r="18" spans="1:64" s="2" customFormat="1" ht="24" customHeight="1" thickBot="1" x14ac:dyDescent="0.3">
      <c r="A18" s="19" t="s">
        <v>1</v>
      </c>
      <c r="B18" s="1064" t="s">
        <v>2</v>
      </c>
      <c r="C18" s="1065"/>
      <c r="D18" s="1065"/>
      <c r="E18" s="1065"/>
      <c r="F18" s="1065"/>
      <c r="G18" s="1066"/>
      <c r="H18" s="1064" t="s">
        <v>3</v>
      </c>
      <c r="I18" s="1065"/>
      <c r="J18" s="1065"/>
      <c r="K18" s="1065"/>
      <c r="L18" s="1065"/>
      <c r="M18" s="1066"/>
      <c r="N18" s="975" t="s">
        <v>135</v>
      </c>
      <c r="O18" s="976"/>
      <c r="P18" s="976"/>
      <c r="Q18" s="976"/>
      <c r="R18" s="976"/>
      <c r="S18" s="977"/>
      <c r="T18" s="1064" t="s">
        <v>4</v>
      </c>
      <c r="U18" s="1065"/>
      <c r="V18" s="1065"/>
      <c r="W18" s="1065"/>
      <c r="X18" s="1065"/>
      <c r="Y18" s="1066"/>
      <c r="Z18" s="1064" t="s">
        <v>5</v>
      </c>
      <c r="AA18" s="1065"/>
      <c r="AB18" s="1065"/>
      <c r="AC18" s="1065"/>
      <c r="AD18" s="1065"/>
      <c r="AE18" s="1066"/>
      <c r="AI18" s="938"/>
      <c r="AJ18" s="2932"/>
      <c r="AK18" s="938"/>
      <c r="AL18" s="1334"/>
      <c r="AM18" s="938"/>
      <c r="AN18" s="1334"/>
      <c r="AO18" s="1151"/>
      <c r="AP18" s="938"/>
      <c r="AQ18" s="1334"/>
      <c r="AR18" s="2933"/>
      <c r="AS18" s="1394"/>
      <c r="AT18" s="1394"/>
      <c r="AU18" s="1151"/>
      <c r="AV18" s="1394"/>
      <c r="AW18" s="1334"/>
      <c r="AX18" s="1151"/>
      <c r="AY18" s="938"/>
      <c r="AZ18" s="2932"/>
      <c r="BA18" s="1151"/>
      <c r="BB18" s="938"/>
      <c r="BC18" s="1334"/>
      <c r="BD18" s="1151"/>
      <c r="BE18" s="1394"/>
      <c r="BF18" s="1334"/>
      <c r="BG18" s="1166"/>
      <c r="BH18" s="1166"/>
      <c r="BI18" s="1715"/>
      <c r="BJ18" s="938"/>
      <c r="BK18" s="938"/>
      <c r="BL18" s="1711"/>
    </row>
    <row r="19" spans="1:64" s="2" customFormat="1" ht="24" customHeight="1" thickBot="1" x14ac:dyDescent="0.3">
      <c r="A19" s="528"/>
      <c r="B19" s="529"/>
      <c r="C19" s="530"/>
      <c r="D19" s="530"/>
      <c r="E19" s="530"/>
      <c r="F19" s="530"/>
      <c r="G19" s="531"/>
      <c r="H19" s="1490" t="s">
        <v>673</v>
      </c>
      <c r="I19" s="1089" t="s">
        <v>1040</v>
      </c>
      <c r="J19" s="1424" t="s">
        <v>695</v>
      </c>
      <c r="K19" s="549"/>
      <c r="L19" s="549"/>
      <c r="M19" s="550"/>
      <c r="N19" s="1490" t="s">
        <v>673</v>
      </c>
      <c r="O19" s="1089" t="s">
        <v>1040</v>
      </c>
      <c r="P19" s="1424" t="s">
        <v>695</v>
      </c>
      <c r="Q19" s="530"/>
      <c r="R19" s="532"/>
      <c r="S19" s="533"/>
      <c r="T19" s="1490" t="s">
        <v>673</v>
      </c>
      <c r="U19" s="1089" t="s">
        <v>1041</v>
      </c>
      <c r="V19" s="1424"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522" t="s">
        <v>183</v>
      </c>
      <c r="B20" s="2946"/>
      <c r="C20" s="2947"/>
      <c r="D20" s="2947"/>
      <c r="E20" s="2947"/>
      <c r="F20" s="2947"/>
      <c r="G20" s="2948"/>
      <c r="H20" s="1075"/>
      <c r="I20" s="938"/>
      <c r="J20" s="1182"/>
      <c r="K20" s="551"/>
      <c r="L20" s="551"/>
      <c r="M20" s="552"/>
      <c r="N20" s="1075"/>
      <c r="O20" s="938"/>
      <c r="P20" s="1182"/>
      <c r="Q20" s="553"/>
      <c r="R20" s="553"/>
      <c r="S20" s="554"/>
      <c r="T20" s="1075"/>
      <c r="U20" s="938"/>
      <c r="V20" s="1182"/>
      <c r="W20" s="88"/>
      <c r="X20" s="87"/>
      <c r="Y20" s="539"/>
      <c r="Z20" s="2946"/>
      <c r="AA20" s="2947"/>
      <c r="AB20" s="2947"/>
      <c r="AC20" s="2947"/>
      <c r="AD20" s="2947"/>
      <c r="AE20" s="2948"/>
    </row>
    <row r="21" spans="1:64" ht="28.5" customHeight="1" x14ac:dyDescent="0.25">
      <c r="A21" s="1550"/>
      <c r="B21" s="1585"/>
      <c r="C21" s="1586"/>
      <c r="D21" s="1586"/>
      <c r="E21" s="1586"/>
      <c r="F21" s="1586"/>
      <c r="G21" s="1587"/>
      <c r="H21" s="1075"/>
      <c r="I21" s="938"/>
      <c r="J21" s="1182"/>
      <c r="K21" s="551"/>
      <c r="L21" s="551"/>
      <c r="M21" s="552"/>
      <c r="N21" s="1075"/>
      <c r="O21" s="938"/>
      <c r="P21" s="1182"/>
      <c r="Q21" s="555"/>
      <c r="R21" s="555"/>
      <c r="S21" s="556"/>
      <c r="T21" s="1075"/>
      <c r="U21" s="938"/>
      <c r="V21" s="1182"/>
      <c r="W21" s="87"/>
      <c r="X21" s="87"/>
      <c r="Y21" s="286"/>
      <c r="Z21" s="1585"/>
      <c r="AA21" s="1586"/>
      <c r="AB21" s="1586"/>
      <c r="AC21" s="1586"/>
      <c r="AD21" s="1586"/>
      <c r="AE21" s="1587"/>
    </row>
    <row r="22" spans="1:64" ht="27" customHeight="1" x14ac:dyDescent="0.3">
      <c r="A22" s="1483" t="s">
        <v>182</v>
      </c>
      <c r="B22" s="2989"/>
      <c r="C22" s="2990"/>
      <c r="D22" s="2990"/>
      <c r="E22" s="2990"/>
      <c r="F22" s="2990"/>
      <c r="G22" s="2991"/>
      <c r="H22" s="1075"/>
      <c r="I22" s="938"/>
      <c r="J22" s="1182"/>
      <c r="K22" s="551"/>
      <c r="L22" s="551"/>
      <c r="M22" s="552"/>
      <c r="N22" s="1075"/>
      <c r="O22" s="938"/>
      <c r="P22" s="1182"/>
      <c r="Q22" s="557"/>
      <c r="R22" s="557"/>
      <c r="S22" s="558"/>
      <c r="T22" s="1075"/>
      <c r="U22" s="938"/>
      <c r="V22" s="1182"/>
      <c r="W22" s="88"/>
      <c r="X22" s="289"/>
      <c r="Y22" s="290"/>
      <c r="Z22" s="2946"/>
      <c r="AA22" s="2947"/>
      <c r="AB22" s="2947"/>
      <c r="AC22" s="2947"/>
      <c r="AD22" s="2947"/>
      <c r="AE22" s="2948"/>
    </row>
    <row r="23" spans="1:64" ht="30" customHeight="1" x14ac:dyDescent="0.25">
      <c r="A23" s="1550"/>
      <c r="B23" s="2986"/>
      <c r="C23" s="2987"/>
      <c r="D23" s="2987"/>
      <c r="E23" s="2987"/>
      <c r="F23" s="2987"/>
      <c r="G23" s="2988"/>
      <c r="H23" s="1075"/>
      <c r="I23" s="938"/>
      <c r="J23" s="1182"/>
      <c r="K23" s="551"/>
      <c r="L23" s="551"/>
      <c r="M23" s="552"/>
      <c r="N23" s="1075"/>
      <c r="O23" s="938"/>
      <c r="P23" s="1182"/>
      <c r="Q23" s="559"/>
      <c r="R23" s="559"/>
      <c r="S23" s="560"/>
      <c r="T23" s="1075"/>
      <c r="U23" s="938"/>
      <c r="V23" s="1182"/>
      <c r="W23" s="285"/>
      <c r="X23" s="285"/>
      <c r="Y23" s="286"/>
      <c r="Z23" s="1585"/>
      <c r="AA23" s="1586"/>
      <c r="AB23" s="1586"/>
      <c r="AC23" s="1586"/>
      <c r="AD23" s="1586"/>
      <c r="AE23" s="1587"/>
    </row>
    <row r="24" spans="1:64" ht="27" customHeight="1" x14ac:dyDescent="0.3">
      <c r="A24" s="1483" t="s">
        <v>184</v>
      </c>
      <c r="B24" s="1062"/>
      <c r="C24" s="1020"/>
      <c r="D24" s="1020"/>
      <c r="E24" s="1020"/>
      <c r="F24" s="1020"/>
      <c r="G24" s="1063"/>
      <c r="H24" s="1265"/>
      <c r="I24" s="1053"/>
      <c r="J24" s="1425"/>
      <c r="K24" s="551"/>
      <c r="L24" s="551"/>
      <c r="M24" s="552"/>
      <c r="N24" s="1265"/>
      <c r="O24" s="1053"/>
      <c r="P24" s="1425"/>
      <c r="Q24" s="423"/>
      <c r="R24" s="423"/>
      <c r="S24" s="391"/>
      <c r="T24" s="1265"/>
      <c r="U24" s="1053"/>
      <c r="V24" s="1425"/>
      <c r="W24" s="541"/>
      <c r="X24" s="10"/>
      <c r="Y24" s="542"/>
      <c r="Z24" s="171"/>
      <c r="AA24" s="171"/>
      <c r="AB24" s="271"/>
      <c r="AC24" s="198"/>
      <c r="AD24" s="171"/>
      <c r="AE24" s="287"/>
    </row>
    <row r="25" spans="1:64" ht="28.5" customHeight="1" x14ac:dyDescent="0.25">
      <c r="A25" s="1550"/>
      <c r="B25" s="1069"/>
      <c r="C25" s="1070"/>
      <c r="D25" s="1070"/>
      <c r="E25" s="1070"/>
      <c r="F25" s="1070"/>
      <c r="G25" s="1071"/>
      <c r="H25" s="1585"/>
      <c r="I25" s="1586"/>
      <c r="J25" s="1586"/>
      <c r="K25" s="1586"/>
      <c r="L25" s="1586"/>
      <c r="M25" s="1587"/>
      <c r="N25" s="1069"/>
      <c r="O25" s="1070"/>
      <c r="P25" s="1070"/>
      <c r="Q25" s="1070"/>
      <c r="R25" s="1070"/>
      <c r="S25" s="1071"/>
      <c r="V25" s="327"/>
      <c r="W25" s="1722"/>
      <c r="X25" s="1165"/>
      <c r="Y25" s="1707"/>
      <c r="Z25" s="275"/>
      <c r="AA25" s="275"/>
      <c r="AB25" s="271"/>
      <c r="AC25" s="198"/>
      <c r="AD25" s="171"/>
      <c r="AE25" s="272"/>
    </row>
    <row r="26" spans="1:64" ht="30" hidden="1" customHeight="1" x14ac:dyDescent="0.25">
      <c r="A26" s="1483" t="s">
        <v>185</v>
      </c>
      <c r="B26" s="519"/>
      <c r="C26" s="520"/>
      <c r="D26" s="520"/>
      <c r="E26" s="520"/>
      <c r="F26" s="520"/>
      <c r="G26" s="521"/>
      <c r="H26" s="2949"/>
      <c r="I26" s="2950"/>
      <c r="J26" s="2950"/>
      <c r="K26" s="2950"/>
      <c r="L26" s="2950"/>
      <c r="M26" s="2951"/>
      <c r="N26" s="2949"/>
      <c r="O26" s="2950"/>
      <c r="P26" s="2950"/>
      <c r="Q26" s="2950"/>
      <c r="R26" s="2950"/>
      <c r="S26" s="2951"/>
      <c r="T26" s="534"/>
      <c r="U26" s="535"/>
      <c r="V26" s="535"/>
      <c r="W26" s="1713"/>
      <c r="X26" s="1166"/>
      <c r="Y26" s="1649"/>
      <c r="Z26" s="2950"/>
      <c r="AA26" s="2950"/>
      <c r="AB26" s="2950"/>
      <c r="AC26" s="2950"/>
      <c r="AD26" s="2950"/>
      <c r="AE26" s="2951"/>
    </row>
    <row r="27" spans="1:64" ht="30" hidden="1" customHeight="1" x14ac:dyDescent="0.25">
      <c r="A27" s="1550"/>
      <c r="B27" s="519"/>
      <c r="C27" s="520"/>
      <c r="D27" s="522"/>
      <c r="E27" s="520"/>
      <c r="F27" s="520"/>
      <c r="G27" s="521"/>
      <c r="H27" s="1585"/>
      <c r="I27" s="1586"/>
      <c r="J27" s="1586"/>
      <c r="K27" s="1586"/>
      <c r="L27" s="1586"/>
      <c r="M27" s="1587"/>
      <c r="N27" s="1585"/>
      <c r="O27" s="1586"/>
      <c r="P27" s="1586"/>
      <c r="Q27" s="1586"/>
      <c r="R27" s="1586"/>
      <c r="S27" s="1587"/>
      <c r="T27" s="536"/>
      <c r="U27" s="537"/>
      <c r="V27" s="537"/>
      <c r="W27" s="1713"/>
      <c r="X27" s="1166"/>
      <c r="Y27" s="1649"/>
      <c r="Z27" s="1586"/>
      <c r="AA27" s="1586"/>
      <c r="AB27" s="1586"/>
      <c r="AC27" s="1586"/>
      <c r="AD27" s="1586"/>
      <c r="AE27" s="1587"/>
    </row>
    <row r="28" spans="1:64" ht="30" hidden="1" customHeight="1" x14ac:dyDescent="0.25">
      <c r="A28" s="1483" t="s">
        <v>186</v>
      </c>
      <c r="B28" s="524"/>
      <c r="C28" s="525"/>
      <c r="D28" s="520"/>
      <c r="E28" s="525"/>
      <c r="F28" s="525"/>
      <c r="G28" s="526"/>
      <c r="H28" s="430"/>
      <c r="I28" s="431"/>
      <c r="J28" s="431"/>
      <c r="K28" s="431"/>
      <c r="L28" s="431"/>
      <c r="M28" s="432"/>
      <c r="N28" s="519"/>
      <c r="O28" s="520"/>
      <c r="P28" s="520"/>
      <c r="Q28" s="520"/>
      <c r="R28" s="520"/>
      <c r="S28" s="521"/>
      <c r="T28" s="187"/>
      <c r="U28" s="171"/>
      <c r="V28" s="271"/>
      <c r="W28" s="1713"/>
      <c r="X28" s="1166"/>
      <c r="Y28" s="1649"/>
      <c r="Z28" s="171"/>
      <c r="AA28" s="171"/>
      <c r="AB28" s="271"/>
      <c r="AC28" s="198"/>
      <c r="AD28" s="171"/>
      <c r="AE28" s="272"/>
    </row>
    <row r="29" spans="1:64" ht="30" hidden="1" customHeight="1" x14ac:dyDescent="0.25">
      <c r="A29" s="1550"/>
      <c r="B29" s="519"/>
      <c r="C29" s="520"/>
      <c r="D29" s="520"/>
      <c r="E29" s="520"/>
      <c r="F29" s="520"/>
      <c r="G29" s="521"/>
      <c r="H29" s="430"/>
      <c r="I29" s="431"/>
      <c r="J29" s="431"/>
      <c r="K29" s="431"/>
      <c r="L29" s="431"/>
      <c r="M29" s="432"/>
      <c r="N29" s="519"/>
      <c r="O29" s="520"/>
      <c r="P29" s="520"/>
      <c r="Q29" s="520"/>
      <c r="R29" s="520"/>
      <c r="S29" s="521"/>
      <c r="T29" s="187"/>
      <c r="U29" s="275"/>
      <c r="V29" s="341"/>
      <c r="W29" s="1713"/>
      <c r="X29" s="1166"/>
      <c r="Y29" s="1649"/>
      <c r="Z29" s="275"/>
      <c r="AA29" s="171"/>
      <c r="AB29" s="271"/>
      <c r="AC29" s="198"/>
      <c r="AD29" s="171"/>
      <c r="AE29" s="272"/>
    </row>
    <row r="30" spans="1:64" ht="27" hidden="1" customHeight="1" x14ac:dyDescent="0.3">
      <c r="A30" s="1483" t="s">
        <v>187</v>
      </c>
      <c r="B30" s="1062"/>
      <c r="C30" s="1020"/>
      <c r="D30" s="1020"/>
      <c r="E30" s="1020"/>
      <c r="F30" s="1020"/>
      <c r="G30" s="1063"/>
      <c r="H30" s="2946"/>
      <c r="I30" s="2947"/>
      <c r="J30" s="2947"/>
      <c r="K30" s="2947"/>
      <c r="L30" s="2947"/>
      <c r="M30" s="2948"/>
      <c r="N30" s="1062"/>
      <c r="O30" s="1020"/>
      <c r="P30" s="1020"/>
      <c r="Q30" s="1020"/>
      <c r="R30" s="1020"/>
      <c r="S30" s="1063"/>
      <c r="T30" s="192"/>
      <c r="W30" s="1714"/>
      <c r="X30" s="1397"/>
      <c r="Y30" s="1708"/>
      <c r="Z30" s="171"/>
      <c r="AA30" s="274"/>
      <c r="AB30" s="288"/>
      <c r="AC30" s="273"/>
      <c r="AD30" s="274"/>
      <c r="AE30" s="287"/>
      <c r="AF30" s="33"/>
    </row>
    <row r="31" spans="1:64" ht="2.25" hidden="1" customHeight="1" x14ac:dyDescent="0.25">
      <c r="A31" s="1550"/>
      <c r="B31" s="1069"/>
      <c r="C31" s="1070"/>
      <c r="D31" s="1070"/>
      <c r="E31" s="1070"/>
      <c r="F31" s="1070"/>
      <c r="G31" s="1071"/>
      <c r="H31" s="1585"/>
      <c r="I31" s="1586"/>
      <c r="J31" s="1586"/>
      <c r="K31" s="1586"/>
      <c r="L31" s="1586"/>
      <c r="M31" s="1587"/>
      <c r="N31" s="1069"/>
      <c r="O31" s="1070"/>
      <c r="P31" s="1070"/>
      <c r="Q31" s="1070"/>
      <c r="R31" s="1070"/>
      <c r="S31" s="1071"/>
      <c r="T31" s="340"/>
      <c r="U31" s="275"/>
      <c r="V31" s="341"/>
      <c r="W31" s="283"/>
      <c r="X31" s="283"/>
      <c r="Y31" s="284"/>
      <c r="Z31" s="171"/>
      <c r="AA31" s="275"/>
      <c r="AB31" s="271"/>
      <c r="AC31" s="198"/>
      <c r="AD31" s="171"/>
      <c r="AE31" s="272"/>
    </row>
    <row r="32" spans="1:64" ht="12" customHeight="1" x14ac:dyDescent="0.3">
      <c r="A32" s="3000"/>
      <c r="B32" s="3001"/>
      <c r="C32" s="3001"/>
      <c r="D32" s="3001"/>
      <c r="E32" s="3001"/>
      <c r="F32" s="3001"/>
      <c r="G32" s="3001"/>
      <c r="H32" s="3001"/>
      <c r="I32" s="3001"/>
      <c r="J32" s="3001"/>
      <c r="K32" s="3001"/>
      <c r="L32" s="3001"/>
      <c r="M32" s="3001"/>
      <c r="N32" s="3001"/>
      <c r="O32" s="3001"/>
      <c r="P32" s="3001"/>
      <c r="Q32" s="3001"/>
      <c r="R32" s="3001"/>
      <c r="S32" s="3001"/>
      <c r="T32" s="3001"/>
      <c r="U32" s="3001"/>
      <c r="V32" s="3001"/>
      <c r="W32" s="3001"/>
      <c r="X32" s="3001"/>
      <c r="Y32" s="3001"/>
      <c r="Z32" s="3001"/>
      <c r="AA32" s="3001"/>
      <c r="AB32" s="3001"/>
      <c r="AC32" s="3001"/>
      <c r="AD32" s="3001"/>
      <c r="AE32" s="3001"/>
      <c r="AF32" s="10"/>
      <c r="AG32" s="10"/>
      <c r="AH32" s="10"/>
      <c r="AI32" s="10"/>
      <c r="AJ32" s="10"/>
    </row>
    <row r="33" spans="1:50" ht="12" customHeight="1" x14ac:dyDescent="0.3">
      <c r="A33" s="3002"/>
      <c r="B33" s="3003"/>
      <c r="C33" s="3003"/>
      <c r="D33" s="3003"/>
      <c r="E33" s="3003"/>
      <c r="F33" s="3003"/>
      <c r="G33" s="3003"/>
      <c r="H33" s="3003"/>
      <c r="I33" s="3003"/>
      <c r="J33" s="3003"/>
      <c r="K33" s="3003"/>
      <c r="L33" s="3003"/>
      <c r="M33" s="3003"/>
      <c r="N33" s="3003"/>
      <c r="O33" s="3003"/>
      <c r="P33" s="3003"/>
      <c r="Q33" s="3003"/>
      <c r="R33" s="3003"/>
      <c r="S33" s="3003"/>
      <c r="T33" s="3003"/>
      <c r="U33" s="3003"/>
      <c r="V33" s="3003"/>
      <c r="W33" s="3003"/>
      <c r="X33" s="3003"/>
      <c r="Y33" s="3003"/>
      <c r="Z33" s="3003"/>
      <c r="AA33" s="3003"/>
      <c r="AB33" s="3003"/>
      <c r="AC33" s="3003"/>
      <c r="AD33" s="3003"/>
      <c r="AE33" s="3003"/>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9" t="s">
        <v>214</v>
      </c>
      <c r="B36" s="2922"/>
      <c r="C36" s="2271" t="s">
        <v>215</v>
      </c>
      <c r="D36" s="2272"/>
      <c r="E36" s="2272"/>
      <c r="F36" s="2272"/>
      <c r="G36" s="2272"/>
      <c r="H36" s="2272"/>
      <c r="I36" s="2272"/>
      <c r="J36" s="2272"/>
      <c r="K36" s="2272"/>
      <c r="L36" s="166"/>
      <c r="M36" s="2273" t="s">
        <v>618</v>
      </c>
      <c r="N36" s="2268"/>
      <c r="O36" s="2271" t="s">
        <v>139</v>
      </c>
      <c r="P36" s="2274"/>
      <c r="Q36" s="2271" t="s">
        <v>163</v>
      </c>
      <c r="R36" s="2272"/>
      <c r="S36" s="2272"/>
      <c r="T36" s="2272"/>
      <c r="U36" s="2272"/>
      <c r="V36" s="2272"/>
      <c r="W36" s="2272"/>
      <c r="X36" s="2272"/>
      <c r="Y36" s="2272"/>
      <c r="Z36" s="2272"/>
      <c r="AA36" s="2272"/>
      <c r="AB36" s="2272"/>
      <c r="AC36" s="2272"/>
      <c r="AD36" s="2272"/>
      <c r="AE36" s="2274"/>
    </row>
    <row r="37" spans="1:50" ht="15" customHeight="1" x14ac:dyDescent="0.25">
      <c r="A37" s="2251" t="s">
        <v>909</v>
      </c>
      <c r="B37" s="2252"/>
      <c r="C37" s="2006" t="str">
        <f>ASIGNATURAS!I314</f>
        <v>Algebra</v>
      </c>
      <c r="D37" s="1177"/>
      <c r="E37" s="1177"/>
      <c r="F37" s="1177"/>
      <c r="G37" s="1177"/>
      <c r="H37" s="1177"/>
      <c r="I37" s="1177"/>
      <c r="J37" s="1177"/>
      <c r="K37" s="1177"/>
      <c r="L37" s="981"/>
      <c r="M37" s="2145">
        <v>8213</v>
      </c>
      <c r="N37" s="936"/>
      <c r="O37" s="2145">
        <v>6</v>
      </c>
      <c r="P37" s="936"/>
      <c r="Q37" s="2006" t="str">
        <f>ASIGNATURAS!K314</f>
        <v>Antonio Manzano Rodríguez</v>
      </c>
      <c r="R37" s="1177"/>
      <c r="S37" s="1177"/>
      <c r="T37" s="1177"/>
      <c r="U37" s="1177"/>
      <c r="V37" s="1177"/>
      <c r="W37" s="1177"/>
      <c r="X37" s="1177"/>
      <c r="Y37" s="1177"/>
      <c r="Z37" s="1177"/>
      <c r="AA37" s="1177"/>
      <c r="AB37" s="1177"/>
      <c r="AC37" s="1177"/>
      <c r="AD37" s="1177"/>
      <c r="AE37" s="981"/>
    </row>
    <row r="38" spans="1:50" ht="14.25" customHeight="1" x14ac:dyDescent="0.25">
      <c r="A38" s="2251" t="s">
        <v>997</v>
      </c>
      <c r="B38" s="2252"/>
      <c r="C38" s="2006" t="str">
        <f>ASIGNATURAS!I315</f>
        <v>Física Aplicada a la Salud</v>
      </c>
      <c r="D38" s="1177"/>
      <c r="E38" s="1177"/>
      <c r="F38" s="1177"/>
      <c r="G38" s="1177"/>
      <c r="H38" s="1177"/>
      <c r="I38" s="1177"/>
      <c r="J38" s="1177"/>
      <c r="K38" s="1177"/>
      <c r="L38" s="981"/>
      <c r="M38" s="2145">
        <v>8214</v>
      </c>
      <c r="N38" s="936"/>
      <c r="O38" s="2145">
        <v>6</v>
      </c>
      <c r="P38" s="936"/>
      <c r="Q38" s="2006" t="str">
        <f>ASIGNATURAS!K315</f>
        <v>Flavio Mercati, Manuel Iván González</v>
      </c>
      <c r="R38" s="1177"/>
      <c r="S38" s="1177"/>
      <c r="T38" s="1177"/>
      <c r="U38" s="1177"/>
      <c r="V38" s="1177"/>
      <c r="W38" s="1177"/>
      <c r="X38" s="1177"/>
      <c r="Y38" s="1177"/>
      <c r="Z38" s="1177"/>
      <c r="AA38" s="1177"/>
      <c r="AB38" s="1177"/>
      <c r="AC38" s="1177"/>
      <c r="AD38" s="1177"/>
      <c r="AE38" s="981"/>
      <c r="AK38" s="420"/>
      <c r="AL38" s="420"/>
      <c r="AM38" s="420"/>
      <c r="AN38" s="420"/>
      <c r="AO38" s="420"/>
      <c r="AP38" s="420"/>
      <c r="AQ38" s="420"/>
      <c r="AR38" s="420"/>
      <c r="AS38" s="420"/>
      <c r="AT38" s="420"/>
      <c r="AU38" s="420"/>
      <c r="AV38" s="420"/>
      <c r="AW38" s="420"/>
      <c r="AX38" s="420"/>
    </row>
    <row r="39" spans="1:50" ht="15" customHeight="1" x14ac:dyDescent="0.25">
      <c r="A39" s="2251" t="s">
        <v>996</v>
      </c>
      <c r="B39" s="2252"/>
      <c r="C39" s="2006" t="str">
        <f>ASIGNATURAS!I316</f>
        <v>F. Bioéticos, Deontológicos y Jurídicos de la Salud</v>
      </c>
      <c r="D39" s="1177"/>
      <c r="E39" s="1177"/>
      <c r="F39" s="1177"/>
      <c r="G39" s="1177"/>
      <c r="H39" s="1177"/>
      <c r="I39" s="1177"/>
      <c r="J39" s="1177"/>
      <c r="K39" s="1177"/>
      <c r="L39" s="981"/>
      <c r="M39" s="2145">
        <v>8215</v>
      </c>
      <c r="N39" s="936"/>
      <c r="O39" s="2145">
        <v>6</v>
      </c>
      <c r="P39" s="936"/>
      <c r="Q39" s="2006" t="str">
        <f>ASIGNATURAS!K316</f>
        <v>Rosa María Sanchez, Juan Ayllon Barasoain</v>
      </c>
      <c r="R39" s="1177"/>
      <c r="S39" s="1177"/>
      <c r="T39" s="1177"/>
      <c r="U39" s="1177"/>
      <c r="V39" s="1177"/>
      <c r="W39" s="1177"/>
      <c r="X39" s="1177"/>
      <c r="Y39" s="1177"/>
      <c r="Z39" s="1177"/>
      <c r="AA39" s="1177"/>
      <c r="AB39" s="1177"/>
      <c r="AC39" s="1177"/>
      <c r="AD39" s="1177"/>
      <c r="AE39" s="981"/>
      <c r="AK39" s="420"/>
      <c r="AL39" s="420"/>
      <c r="AM39" s="420"/>
      <c r="AN39" s="420"/>
      <c r="AO39" s="420"/>
      <c r="AP39" s="420"/>
      <c r="AQ39" s="420"/>
      <c r="AR39" s="420"/>
      <c r="AS39" s="420"/>
      <c r="AT39" s="420"/>
      <c r="AU39" s="420"/>
      <c r="AV39" s="420"/>
      <c r="AW39" s="420"/>
      <c r="AX39" s="420"/>
    </row>
    <row r="40" spans="1:50" ht="15" customHeight="1" x14ac:dyDescent="0.25">
      <c r="A40" s="2251" t="s">
        <v>926</v>
      </c>
      <c r="B40" s="2252"/>
      <c r="C40" s="981" t="str">
        <f>ASIGNATURAS!I317</f>
        <v>Informática Básica</v>
      </c>
      <c r="D40" s="982"/>
      <c r="E40" s="982"/>
      <c r="F40" s="982"/>
      <c r="G40" s="982"/>
      <c r="H40" s="982"/>
      <c r="I40" s="982"/>
      <c r="J40" s="982"/>
      <c r="K40" s="982"/>
      <c r="L40" s="982"/>
      <c r="M40" s="2145">
        <v>8216</v>
      </c>
      <c r="N40" s="936"/>
      <c r="O40" s="936">
        <v>6</v>
      </c>
      <c r="P40" s="1205"/>
      <c r="Q40" s="2006" t="str">
        <f>ASIGNATURAS!K317</f>
        <v>Carlos Pardo Aguilar, Jose Francisco Díez</v>
      </c>
      <c r="R40" s="1177"/>
      <c r="S40" s="1177"/>
      <c r="T40" s="1177"/>
      <c r="U40" s="1177"/>
      <c r="V40" s="1177"/>
      <c r="W40" s="1177"/>
      <c r="X40" s="1177"/>
      <c r="Y40" s="1177"/>
      <c r="Z40" s="1177"/>
      <c r="AA40" s="1177"/>
      <c r="AB40" s="1177"/>
      <c r="AC40" s="1177"/>
      <c r="AD40" s="1177"/>
      <c r="AE40" s="981"/>
      <c r="AK40" s="420"/>
      <c r="AL40" s="420"/>
      <c r="AM40" s="420"/>
      <c r="AN40" s="420"/>
      <c r="AO40" s="420"/>
      <c r="AP40" s="420"/>
      <c r="AQ40" s="420"/>
      <c r="AR40" s="420"/>
      <c r="AS40" s="420"/>
      <c r="AT40" s="420"/>
      <c r="AU40" s="420"/>
      <c r="AV40" s="420"/>
      <c r="AW40" s="420"/>
      <c r="AX40" s="420"/>
    </row>
    <row r="41" spans="1:50" ht="15" customHeight="1" x14ac:dyDescent="0.25">
      <c r="A41" s="2251" t="s">
        <v>673</v>
      </c>
      <c r="B41" s="2252"/>
      <c r="C41" s="981" t="str">
        <f>ASIGNATURAS!I318</f>
        <v>Biología Celular y Genética</v>
      </c>
      <c r="D41" s="982"/>
      <c r="E41" s="982"/>
      <c r="F41" s="982"/>
      <c r="G41" s="982"/>
      <c r="H41" s="982"/>
      <c r="I41" s="982"/>
      <c r="J41" s="982"/>
      <c r="K41" s="982"/>
      <c r="L41" s="982"/>
      <c r="M41" s="2145">
        <v>8217</v>
      </c>
      <c r="N41" s="936"/>
      <c r="O41" s="936">
        <v>6</v>
      </c>
      <c r="P41" s="1205"/>
      <c r="Q41" s="2006" t="str">
        <f>ASIGNATURAS!K318</f>
        <v>Mª Concepción Pilar , Mónica Cavia , Silvia Sevillano</v>
      </c>
      <c r="R41" s="1177"/>
      <c r="S41" s="1177"/>
      <c r="T41" s="1177"/>
      <c r="U41" s="1177"/>
      <c r="V41" s="1177"/>
      <c r="W41" s="1177"/>
      <c r="X41" s="1177"/>
      <c r="Y41" s="1177"/>
      <c r="Z41" s="1177"/>
      <c r="AA41" s="1177"/>
      <c r="AB41" s="1177"/>
      <c r="AC41" s="1177"/>
      <c r="AD41" s="1177"/>
      <c r="AE41" s="981"/>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28" t="s">
        <v>1043</v>
      </c>
      <c r="B49" s="2975"/>
      <c r="C49" s="2975"/>
      <c r="D49" s="2975"/>
      <c r="E49" s="2976"/>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6" t="s">
        <v>671</v>
      </c>
      <c r="B52" s="2297"/>
      <c r="C52" s="2297"/>
      <c r="D52" s="2297"/>
      <c r="E52" s="2297"/>
      <c r="F52" s="2297"/>
      <c r="G52" s="2297"/>
      <c r="H52" s="2297"/>
      <c r="I52" s="2297"/>
      <c r="J52" s="2297"/>
      <c r="K52" s="2297"/>
      <c r="L52" s="2297"/>
      <c r="M52" s="2297"/>
      <c r="N52" s="2297"/>
      <c r="O52" s="2297"/>
      <c r="P52" s="2297"/>
      <c r="Q52" s="2297"/>
      <c r="R52" s="2297"/>
      <c r="S52" s="2297"/>
      <c r="T52" s="2297"/>
      <c r="U52" s="2297"/>
      <c r="V52" s="2297"/>
      <c r="W52" s="2297"/>
      <c r="X52" s="2297"/>
      <c r="Y52" s="2298"/>
      <c r="Z52" s="2254" t="str">
        <f>Z1</f>
        <v>Curso 2024-2025</v>
      </c>
      <c r="AA52" s="2254"/>
      <c r="AB52" s="2254"/>
      <c r="AC52" s="2254"/>
      <c r="AD52" s="2254"/>
      <c r="AE52" s="2255"/>
    </row>
    <row r="53" spans="1:54" s="8" customFormat="1" ht="23.25" customHeight="1" x14ac:dyDescent="0.4">
      <c r="A53" s="2291" t="s">
        <v>1003</v>
      </c>
      <c r="B53" s="2292"/>
      <c r="C53" s="2292"/>
      <c r="D53" s="2292"/>
      <c r="E53" s="2292"/>
      <c r="F53" s="2292"/>
      <c r="G53" s="2292"/>
      <c r="H53" s="2292"/>
      <c r="I53" s="2292"/>
      <c r="J53" s="2292"/>
      <c r="K53" s="2292"/>
      <c r="L53" s="2292"/>
      <c r="M53" s="2292"/>
      <c r="N53" s="2292"/>
      <c r="O53" s="2292"/>
      <c r="P53" s="2292"/>
      <c r="Q53" s="2292"/>
      <c r="R53" s="2292"/>
      <c r="S53" s="2292"/>
      <c r="T53" s="2292"/>
      <c r="U53" s="2292"/>
      <c r="V53" s="2292"/>
      <c r="W53" s="2292"/>
      <c r="X53" s="2292"/>
      <c r="Y53" s="2293"/>
      <c r="Z53" s="2279" t="s">
        <v>553</v>
      </c>
      <c r="AA53" s="2279"/>
      <c r="AB53" s="2279"/>
      <c r="AC53" s="2279"/>
      <c r="AD53" s="2279"/>
      <c r="AE53" s="2280"/>
    </row>
    <row r="54" spans="1:54" s="8" customFormat="1" ht="23.25" customHeight="1" x14ac:dyDescent="0.4">
      <c r="A54" s="2264" t="s">
        <v>138</v>
      </c>
      <c r="B54" s="2265"/>
      <c r="C54" s="2265"/>
      <c r="D54" s="2265"/>
      <c r="E54" s="2265"/>
      <c r="F54" s="2265"/>
      <c r="G54" s="2265"/>
      <c r="H54" s="2265"/>
      <c r="I54" s="2265"/>
      <c r="J54" s="2265"/>
      <c r="K54" s="2265"/>
      <c r="L54" s="2265"/>
      <c r="M54" s="2265"/>
      <c r="N54" s="2265"/>
      <c r="O54" s="2265"/>
      <c r="P54" s="2265"/>
      <c r="Q54" s="2265"/>
      <c r="R54" s="2265"/>
      <c r="S54" s="2265"/>
      <c r="T54" s="2265"/>
      <c r="U54" s="2265"/>
      <c r="V54" s="2265"/>
      <c r="W54" s="2265"/>
      <c r="X54" s="2265"/>
      <c r="Y54" s="2266"/>
      <c r="Z54" s="2281"/>
      <c r="AA54" s="2281"/>
      <c r="AB54" s="2281"/>
      <c r="AC54" s="2281"/>
      <c r="AD54" s="2281"/>
      <c r="AE54" s="2282"/>
    </row>
    <row r="55" spans="1:54" ht="38.25" customHeight="1" thickBot="1" x14ac:dyDescent="0.3">
      <c r="A55" s="9" t="s">
        <v>700</v>
      </c>
      <c r="B55" s="193"/>
    </row>
    <row r="56" spans="1:54" s="2" customFormat="1" ht="24" customHeight="1" thickBot="1" x14ac:dyDescent="0.3">
      <c r="A56" s="165" t="s">
        <v>1</v>
      </c>
      <c r="B56" s="2998" t="s">
        <v>2</v>
      </c>
      <c r="C56" s="976"/>
      <c r="D56" s="976"/>
      <c r="E56" s="976"/>
      <c r="F56" s="976"/>
      <c r="G56" s="2740"/>
      <c r="H56" s="2998" t="s">
        <v>3</v>
      </c>
      <c r="I56" s="976"/>
      <c r="J56" s="976"/>
      <c r="K56" s="976"/>
      <c r="L56" s="976"/>
      <c r="M56" s="2740"/>
      <c r="N56" s="2998" t="s">
        <v>135</v>
      </c>
      <c r="O56" s="976"/>
      <c r="P56" s="976"/>
      <c r="Q56" s="976"/>
      <c r="R56" s="976"/>
      <c r="S56" s="2740"/>
      <c r="T56" s="2998" t="s">
        <v>4</v>
      </c>
      <c r="U56" s="976"/>
      <c r="V56" s="976"/>
      <c r="W56" s="976"/>
      <c r="X56" s="976"/>
      <c r="Y56" s="2740"/>
      <c r="Z56" s="2998" t="s">
        <v>5</v>
      </c>
      <c r="AA56" s="976"/>
      <c r="AB56" s="976"/>
      <c r="AC56" s="976"/>
      <c r="AD56" s="976"/>
      <c r="AE56" s="976"/>
      <c r="AF56" s="277"/>
      <c r="AG56" s="277"/>
      <c r="AH56" s="277"/>
      <c r="AI56" s="277"/>
      <c r="AJ56" s="277"/>
      <c r="AK56" s="277"/>
      <c r="AL56" s="277"/>
      <c r="AM56" s="277"/>
      <c r="AN56" s="277"/>
      <c r="AO56" s="277"/>
      <c r="AP56" s="277"/>
      <c r="AQ56" s="277"/>
      <c r="AR56" s="277"/>
      <c r="AS56" s="277"/>
      <c r="AT56" s="277"/>
      <c r="AU56" s="277"/>
    </row>
    <row r="57" spans="1:54" ht="30" customHeight="1" x14ac:dyDescent="0.3">
      <c r="A57" s="3004" t="s">
        <v>10</v>
      </c>
      <c r="B57" s="1002" t="s">
        <v>697</v>
      </c>
      <c r="C57" s="1003"/>
      <c r="D57" s="1003"/>
      <c r="E57" s="1003"/>
      <c r="F57" s="1003"/>
      <c r="G57" s="1004"/>
      <c r="H57" s="1125"/>
      <c r="I57" s="1126"/>
      <c r="J57" s="1126"/>
      <c r="K57" s="1126"/>
      <c r="L57" s="1126"/>
      <c r="M57" s="1127"/>
      <c r="N57" s="1125"/>
      <c r="O57" s="1126"/>
      <c r="P57" s="1126"/>
      <c r="Q57" s="1126"/>
      <c r="R57" s="1126"/>
      <c r="S57" s="1127"/>
      <c r="V57" s="513" t="s">
        <v>571</v>
      </c>
      <c r="W57" s="1050" t="s">
        <v>553</v>
      </c>
      <c r="X57" s="588"/>
      <c r="Y57" s="1363"/>
      <c r="Z57" s="382" t="s">
        <v>571</v>
      </c>
      <c r="AA57" s="1182" t="s">
        <v>695</v>
      </c>
      <c r="AB57" s="343" t="s">
        <v>570</v>
      </c>
      <c r="AC57" s="1051" t="s">
        <v>696</v>
      </c>
      <c r="AD57" s="261"/>
      <c r="AE57" s="1649"/>
      <c r="AF57" s="10"/>
      <c r="AG57" s="69"/>
      <c r="AH57" s="1715"/>
      <c r="AI57" s="10"/>
      <c r="AJ57" s="10"/>
      <c r="AK57" s="10"/>
      <c r="AL57" s="10"/>
      <c r="AM57" s="10"/>
      <c r="AN57" s="10"/>
      <c r="AO57" s="10"/>
      <c r="AP57" s="10"/>
      <c r="AQ57" s="10"/>
      <c r="AR57" s="10"/>
      <c r="AS57" s="10"/>
      <c r="AT57" s="10"/>
      <c r="AU57" s="10"/>
    </row>
    <row r="58" spans="1:54" ht="30" customHeight="1" x14ac:dyDescent="0.25">
      <c r="A58" s="3004"/>
      <c r="B58" s="1012" t="s">
        <v>553</v>
      </c>
      <c r="C58" s="997"/>
      <c r="D58" s="997"/>
      <c r="E58" s="997"/>
      <c r="F58" s="997"/>
      <c r="G58" s="1663"/>
      <c r="H58" s="2180"/>
      <c r="I58" s="1091"/>
      <c r="J58" s="1091"/>
      <c r="K58" s="1091"/>
      <c r="L58" s="1091"/>
      <c r="M58" s="1091"/>
      <c r="N58" s="964"/>
      <c r="O58" s="965"/>
      <c r="P58" s="965"/>
      <c r="Q58" s="965"/>
      <c r="R58" s="965"/>
      <c r="S58" s="1027"/>
      <c r="V58" s="1289" t="s">
        <v>697</v>
      </c>
      <c r="W58" s="1051"/>
      <c r="X58" s="1410"/>
      <c r="Y58" s="3032"/>
      <c r="Z58" s="1075" t="s">
        <v>999</v>
      </c>
      <c r="AA58" s="1182"/>
      <c r="AB58" s="1289" t="s">
        <v>697</v>
      </c>
      <c r="AC58" s="1051"/>
      <c r="AD58" s="1713"/>
      <c r="AE58" s="1649"/>
      <c r="AF58" s="10"/>
      <c r="AG58" s="1166"/>
      <c r="AH58" s="1715"/>
      <c r="AI58" s="268"/>
      <c r="AJ58" s="10"/>
      <c r="AK58" s="10"/>
      <c r="AL58" s="10"/>
      <c r="AM58" s="10"/>
      <c r="AN58" s="10"/>
      <c r="AO58" s="10"/>
      <c r="AP58" s="10"/>
      <c r="AQ58" s="10"/>
      <c r="AR58" s="10"/>
      <c r="AS58" s="10"/>
      <c r="AT58" s="10"/>
      <c r="AU58" s="10"/>
    </row>
    <row r="59" spans="1:54" ht="30" customHeight="1" x14ac:dyDescent="0.3">
      <c r="A59" s="2992" t="s">
        <v>11</v>
      </c>
      <c r="B59" s="963" t="s">
        <v>697</v>
      </c>
      <c r="C59" s="957"/>
      <c r="D59" s="957"/>
      <c r="E59" s="957"/>
      <c r="F59" s="957"/>
      <c r="G59" s="958"/>
      <c r="H59" s="963" t="s">
        <v>999</v>
      </c>
      <c r="I59" s="957"/>
      <c r="J59" s="957"/>
      <c r="K59" s="957"/>
      <c r="L59" s="957"/>
      <c r="M59" s="958"/>
      <c r="N59" s="963" t="s">
        <v>999</v>
      </c>
      <c r="O59" s="957"/>
      <c r="P59" s="957"/>
      <c r="Q59" s="957"/>
      <c r="R59" s="957"/>
      <c r="S59" s="958"/>
      <c r="V59" s="1289"/>
      <c r="W59" s="1051"/>
      <c r="X59" s="1410"/>
      <c r="Y59" s="3032"/>
      <c r="Z59" s="1075"/>
      <c r="AA59" s="1182"/>
      <c r="AB59" s="1289"/>
      <c r="AC59" s="1051"/>
      <c r="AD59" s="1713"/>
      <c r="AE59" s="1649"/>
      <c r="AF59" s="10"/>
      <c r="AG59" s="1166"/>
      <c r="AH59" s="1715"/>
      <c r="AI59" s="268"/>
      <c r="AJ59" s="1166"/>
      <c r="AK59" s="1166"/>
      <c r="AL59" s="1715"/>
      <c r="AM59" s="10"/>
      <c r="AN59" s="10"/>
      <c r="AO59" s="10"/>
      <c r="AP59" s="10"/>
      <c r="AQ59" s="10"/>
      <c r="AR59" s="10"/>
      <c r="AS59" s="10"/>
      <c r="AT59" s="10"/>
      <c r="AU59" s="10"/>
    </row>
    <row r="60" spans="1:54" ht="30" customHeight="1" x14ac:dyDescent="0.25">
      <c r="A60" s="2993"/>
      <c r="B60" s="951" t="s">
        <v>553</v>
      </c>
      <c r="C60" s="952"/>
      <c r="D60" s="952"/>
      <c r="E60" s="952"/>
      <c r="F60" s="952"/>
      <c r="G60" s="953"/>
      <c r="H60" s="1012" t="s">
        <v>553</v>
      </c>
      <c r="I60" s="997"/>
      <c r="J60" s="997"/>
      <c r="K60" s="997"/>
      <c r="L60" s="997"/>
      <c r="M60" s="1663"/>
      <c r="N60" s="951" t="s">
        <v>553</v>
      </c>
      <c r="O60" s="952"/>
      <c r="P60" s="952"/>
      <c r="Q60" s="952"/>
      <c r="R60" s="952"/>
      <c r="S60" s="953"/>
      <c r="U60" s="197"/>
      <c r="V60" s="1290"/>
      <c r="W60" s="1052"/>
      <c r="X60" s="3016"/>
      <c r="Y60" s="3032"/>
      <c r="Z60" s="1075"/>
      <c r="AA60" s="1182"/>
      <c r="AB60" s="1290"/>
      <c r="AC60" s="1051"/>
      <c r="AD60" s="1714"/>
      <c r="AE60" s="1708"/>
      <c r="AF60" s="10"/>
      <c r="AG60" s="1166"/>
      <c r="AH60" s="1715"/>
      <c r="AI60" s="10"/>
      <c r="AJ60" s="1166"/>
      <c r="AK60" s="1166"/>
      <c r="AL60" s="1715"/>
      <c r="AM60" s="10"/>
      <c r="AN60" s="10"/>
      <c r="AO60" s="10"/>
      <c r="AP60" s="10"/>
      <c r="AQ60" s="10"/>
      <c r="AR60" s="10"/>
      <c r="AS60" s="10"/>
      <c r="AT60" s="10"/>
      <c r="AU60" s="10"/>
    </row>
    <row r="61" spans="1:54" ht="30" customHeight="1" x14ac:dyDescent="0.3">
      <c r="A61" s="2992" t="s">
        <v>6</v>
      </c>
      <c r="B61" s="994" t="s">
        <v>680</v>
      </c>
      <c r="C61" s="995"/>
      <c r="D61" s="995"/>
      <c r="E61" s="995"/>
      <c r="F61" s="995"/>
      <c r="G61" s="996"/>
      <c r="H61" s="963" t="s">
        <v>915</v>
      </c>
      <c r="I61" s="957"/>
      <c r="J61" s="957"/>
      <c r="K61" s="957"/>
      <c r="L61" s="957"/>
      <c r="M61" s="958"/>
      <c r="N61" s="994" t="s">
        <v>998</v>
      </c>
      <c r="O61" s="995"/>
      <c r="P61" s="995"/>
      <c r="Q61" s="995"/>
      <c r="R61" s="995"/>
      <c r="S61" s="996"/>
      <c r="T61" s="503" t="s">
        <v>569</v>
      </c>
      <c r="U61" s="1051" t="s">
        <v>553</v>
      </c>
      <c r="W61" s="195"/>
      <c r="X61" s="343" t="s">
        <v>571</v>
      </c>
      <c r="Y61" s="1183" t="s">
        <v>669</v>
      </c>
      <c r="Z61" s="1075"/>
      <c r="AA61" s="1182"/>
      <c r="AB61" s="279"/>
      <c r="AC61" s="195"/>
      <c r="AD61" s="343" t="s">
        <v>569</v>
      </c>
      <c r="AE61" s="1183" t="s">
        <v>696</v>
      </c>
      <c r="AF61" s="10"/>
      <c r="AG61" s="10"/>
      <c r="AH61" s="10"/>
      <c r="AI61" s="10"/>
      <c r="AJ61" s="1166"/>
      <c r="AK61" s="1166"/>
      <c r="AL61" s="1715"/>
      <c r="AM61" s="10"/>
      <c r="AN61" s="10"/>
      <c r="AO61" s="10"/>
      <c r="AP61" s="10"/>
      <c r="AQ61" s="10"/>
      <c r="AR61" s="10"/>
      <c r="AS61" s="69"/>
      <c r="AT61" s="1715"/>
      <c r="AU61" s="10"/>
    </row>
    <row r="62" spans="1:54" ht="30" customHeight="1" x14ac:dyDescent="0.25">
      <c r="A62" s="2993"/>
      <c r="B62" s="1012" t="s">
        <v>553</v>
      </c>
      <c r="C62" s="997"/>
      <c r="D62" s="997"/>
      <c r="E62" s="997"/>
      <c r="F62" s="997"/>
      <c r="G62" s="1663"/>
      <c r="H62" s="1012" t="s">
        <v>553</v>
      </c>
      <c r="I62" s="997"/>
      <c r="J62" s="997"/>
      <c r="K62" s="997"/>
      <c r="L62" s="997"/>
      <c r="M62" s="1663"/>
      <c r="N62" s="1012" t="s">
        <v>553</v>
      </c>
      <c r="O62" s="997"/>
      <c r="P62" s="997"/>
      <c r="Q62" s="997"/>
      <c r="R62" s="997"/>
      <c r="S62" s="1663"/>
      <c r="T62" s="1289" t="s">
        <v>697</v>
      </c>
      <c r="U62" s="1051"/>
      <c r="X62" s="1289" t="s">
        <v>680</v>
      </c>
      <c r="Y62" s="1184"/>
      <c r="Z62" s="1075"/>
      <c r="AA62" s="1425"/>
      <c r="AB62" s="196"/>
      <c r="AD62" s="1289" t="s">
        <v>697</v>
      </c>
      <c r="AE62" s="1184"/>
      <c r="AF62" s="3040"/>
      <c r="AG62" s="10"/>
      <c r="AH62" s="10"/>
      <c r="AI62" s="10"/>
      <c r="AJ62" s="1166"/>
      <c r="AK62" s="1166"/>
      <c r="AL62" s="1715"/>
      <c r="AM62" s="10"/>
      <c r="AN62" s="10"/>
      <c r="AO62" s="10"/>
      <c r="AP62" s="10"/>
      <c r="AQ62" s="10"/>
      <c r="AR62" s="10"/>
      <c r="AS62" s="1166"/>
      <c r="AT62" s="1715"/>
      <c r="AU62" s="10"/>
    </row>
    <row r="63" spans="1:54" ht="30" customHeight="1" x14ac:dyDescent="0.3">
      <c r="A63" s="2992" t="s">
        <v>7</v>
      </c>
      <c r="B63" s="963" t="s">
        <v>998</v>
      </c>
      <c r="C63" s="957"/>
      <c r="D63" s="957"/>
      <c r="E63" s="957"/>
      <c r="F63" s="957"/>
      <c r="G63" s="958"/>
      <c r="H63" s="963" t="s">
        <v>680</v>
      </c>
      <c r="I63" s="957"/>
      <c r="J63" s="957"/>
      <c r="K63" s="957"/>
      <c r="L63" s="957"/>
      <c r="M63" s="958"/>
      <c r="N63" s="963" t="s">
        <v>915</v>
      </c>
      <c r="O63" s="957"/>
      <c r="P63" s="957"/>
      <c r="Q63" s="957"/>
      <c r="R63" s="957"/>
      <c r="S63" s="958"/>
      <c r="T63" s="1289"/>
      <c r="U63" s="1051"/>
      <c r="X63" s="1289"/>
      <c r="Y63" s="1184"/>
      <c r="Z63" s="192"/>
      <c r="AA63" s="195"/>
      <c r="AB63" s="343" t="s">
        <v>570</v>
      </c>
      <c r="AC63" s="1657" t="s">
        <v>695</v>
      </c>
      <c r="AD63" s="1289"/>
      <c r="AE63" s="1184"/>
      <c r="AF63" s="3040"/>
      <c r="AG63" s="10"/>
      <c r="AH63" s="10"/>
      <c r="AI63" s="10"/>
      <c r="AJ63" s="10"/>
      <c r="AK63" s="10"/>
      <c r="AL63" s="10"/>
      <c r="AM63" s="10"/>
      <c r="AN63" s="10"/>
      <c r="AO63" s="10"/>
      <c r="AP63" s="10"/>
      <c r="AQ63" s="10"/>
      <c r="AR63" s="10"/>
      <c r="AS63" s="1166"/>
      <c r="AT63" s="1715"/>
      <c r="AU63" s="10"/>
      <c r="AW63" s="1151"/>
      <c r="AX63" s="938"/>
      <c r="AY63" s="1334"/>
      <c r="AZ63" s="938"/>
      <c r="BA63" s="938"/>
      <c r="BB63" s="1334"/>
    </row>
    <row r="64" spans="1:54" ht="30" customHeight="1" x14ac:dyDescent="0.25">
      <c r="A64" s="2993"/>
      <c r="B64" s="951" t="s">
        <v>553</v>
      </c>
      <c r="C64" s="952"/>
      <c r="D64" s="952"/>
      <c r="E64" s="952"/>
      <c r="F64" s="952"/>
      <c r="G64" s="953"/>
      <c r="H64" s="951" t="s">
        <v>553</v>
      </c>
      <c r="I64" s="952"/>
      <c r="J64" s="952"/>
      <c r="K64" s="952"/>
      <c r="L64" s="952"/>
      <c r="M64" s="953"/>
      <c r="N64" s="951" t="s">
        <v>553</v>
      </c>
      <c r="O64" s="952"/>
      <c r="P64" s="952"/>
      <c r="Q64" s="952"/>
      <c r="R64" s="952"/>
      <c r="S64" s="953"/>
      <c r="T64" s="1290"/>
      <c r="U64" s="1052"/>
      <c r="X64" s="1290"/>
      <c r="Y64" s="1279"/>
      <c r="Z64" s="33"/>
      <c r="AA64" s="102"/>
      <c r="AB64" s="1289" t="s">
        <v>999</v>
      </c>
      <c r="AC64" s="1182"/>
      <c r="AD64" s="1289"/>
      <c r="AE64" s="1279"/>
      <c r="AF64" s="3040"/>
      <c r="AG64" s="10"/>
      <c r="AH64" s="10"/>
      <c r="AI64" s="10"/>
      <c r="AJ64" s="1166"/>
      <c r="AK64" s="1166"/>
      <c r="AL64" s="1715"/>
      <c r="AM64" s="10"/>
      <c r="AN64" s="10"/>
      <c r="AO64" s="10"/>
      <c r="AP64" s="1166"/>
      <c r="AQ64" s="1166"/>
      <c r="AR64" s="1715"/>
      <c r="AS64" s="1166"/>
      <c r="AT64" s="1715"/>
      <c r="AU64" s="10"/>
      <c r="AW64" s="1151"/>
      <c r="AX64" s="938"/>
      <c r="AY64" s="1334"/>
      <c r="AZ64" s="938"/>
      <c r="BA64" s="938"/>
      <c r="BB64" s="1334"/>
    </row>
    <row r="65" spans="1:54" ht="33.75" customHeight="1" x14ac:dyDescent="0.25">
      <c r="A65" s="2992" t="s">
        <v>8</v>
      </c>
      <c r="B65" s="591" t="s">
        <v>569</v>
      </c>
      <c r="C65" s="1051" t="s">
        <v>733</v>
      </c>
      <c r="D65" s="343" t="s">
        <v>570</v>
      </c>
      <c r="E65" s="1051" t="s">
        <v>669</v>
      </c>
      <c r="F65" s="592" t="s">
        <v>571</v>
      </c>
      <c r="G65" s="1051" t="s">
        <v>141</v>
      </c>
      <c r="H65" s="591" t="s">
        <v>569</v>
      </c>
      <c r="I65" s="1334" t="s">
        <v>669</v>
      </c>
      <c r="J65" s="592" t="s">
        <v>570</v>
      </c>
      <c r="K65" s="1051" t="s">
        <v>144</v>
      </c>
      <c r="L65" s="593"/>
      <c r="M65" s="1363"/>
      <c r="N65" s="591" t="s">
        <v>569</v>
      </c>
      <c r="O65" s="1051" t="s">
        <v>144</v>
      </c>
      <c r="P65" s="343" t="s">
        <v>570</v>
      </c>
      <c r="Q65" s="1051" t="s">
        <v>733</v>
      </c>
      <c r="R65" s="588"/>
      <c r="S65" s="2994"/>
      <c r="U65" s="195"/>
      <c r="V65" s="386" t="s">
        <v>570</v>
      </c>
      <c r="W65" s="1051" t="s">
        <v>553</v>
      </c>
      <c r="X65" s="594" t="s">
        <v>571</v>
      </c>
      <c r="Y65" s="1051" t="s">
        <v>733</v>
      </c>
      <c r="Z65" s="503" t="s">
        <v>571</v>
      </c>
      <c r="AA65" s="1333" t="s">
        <v>696</v>
      </c>
      <c r="AB65" s="1289"/>
      <c r="AC65" s="1182"/>
      <c r="AD65" s="191"/>
      <c r="AE65" s="298"/>
      <c r="AF65" s="3040"/>
      <c r="AG65" s="10"/>
      <c r="AH65" s="10"/>
      <c r="AI65" s="10"/>
      <c r="AJ65" s="1166"/>
      <c r="AK65" s="1166"/>
      <c r="AL65" s="1715"/>
      <c r="AM65" s="10"/>
      <c r="AN65" s="10"/>
      <c r="AO65" s="10"/>
      <c r="AP65" s="1166"/>
      <c r="AQ65" s="1166"/>
      <c r="AR65" s="1715"/>
      <c r="AS65" s="10"/>
      <c r="AT65" s="10"/>
      <c r="AU65" s="10"/>
      <c r="AW65" s="1151"/>
      <c r="AX65" s="938"/>
      <c r="AY65" s="1334"/>
      <c r="AZ65" s="938"/>
      <c r="BA65" s="938"/>
      <c r="BB65" s="1334"/>
    </row>
    <row r="66" spans="1:54" ht="28.5" customHeight="1" x14ac:dyDescent="0.25">
      <c r="A66" s="2993"/>
      <c r="B66" s="1075" t="s">
        <v>998</v>
      </c>
      <c r="C66" s="1334"/>
      <c r="D66" s="1289" t="s">
        <v>680</v>
      </c>
      <c r="E66" s="1051"/>
      <c r="F66" s="938" t="s">
        <v>915</v>
      </c>
      <c r="G66" s="1334"/>
      <c r="H66" s="1075" t="s">
        <v>680</v>
      </c>
      <c r="I66" s="1334"/>
      <c r="J66" s="1289" t="s">
        <v>915</v>
      </c>
      <c r="K66" s="1334"/>
      <c r="L66" s="2004"/>
      <c r="M66" s="3032"/>
      <c r="N66" s="1075" t="s">
        <v>915</v>
      </c>
      <c r="O66" s="1334"/>
      <c r="P66" s="1289" t="s">
        <v>998</v>
      </c>
      <c r="Q66" s="1334"/>
      <c r="R66" s="2004"/>
      <c r="S66" s="2994"/>
      <c r="V66" s="1289" t="s">
        <v>697</v>
      </c>
      <c r="W66" s="1051"/>
      <c r="X66" s="938" t="s">
        <v>998</v>
      </c>
      <c r="Y66" s="1334"/>
      <c r="Z66" s="1075" t="s">
        <v>697</v>
      </c>
      <c r="AA66" s="1334"/>
      <c r="AB66" s="1289"/>
      <c r="AC66" s="1182"/>
      <c r="AD66" s="69"/>
      <c r="AE66" s="280"/>
      <c r="AF66" s="278"/>
      <c r="AG66" s="10"/>
      <c r="AH66" s="10"/>
      <c r="AI66" s="10"/>
      <c r="AJ66" s="1166"/>
      <c r="AK66" s="1166"/>
      <c r="AL66" s="1715"/>
      <c r="AM66" s="10"/>
      <c r="AN66" s="10"/>
      <c r="AO66" s="10"/>
      <c r="AP66" s="1166"/>
      <c r="AQ66" s="1166"/>
      <c r="AR66" s="1715"/>
      <c r="AS66" s="10"/>
      <c r="AT66" s="10"/>
      <c r="AU66" s="10"/>
      <c r="AW66" s="1151"/>
      <c r="AX66" s="938"/>
      <c r="AY66" s="1334"/>
      <c r="AZ66" s="938"/>
      <c r="BA66" s="938"/>
      <c r="BB66" s="1334"/>
    </row>
    <row r="67" spans="1:54" ht="30" customHeight="1" x14ac:dyDescent="0.25">
      <c r="A67" s="2992" t="s">
        <v>9</v>
      </c>
      <c r="B67" s="1075"/>
      <c r="C67" s="1334"/>
      <c r="D67" s="1289"/>
      <c r="E67" s="1051"/>
      <c r="F67" s="938"/>
      <c r="G67" s="1334"/>
      <c r="H67" s="1075"/>
      <c r="I67" s="1334"/>
      <c r="J67" s="1289"/>
      <c r="K67" s="1334"/>
      <c r="L67" s="2004"/>
      <c r="M67" s="3032"/>
      <c r="N67" s="1075"/>
      <c r="O67" s="1334"/>
      <c r="P67" s="1289"/>
      <c r="Q67" s="1334"/>
      <c r="R67" s="2004"/>
      <c r="S67" s="2994"/>
      <c r="V67" s="1289"/>
      <c r="W67" s="1051"/>
      <c r="X67" s="938"/>
      <c r="Y67" s="1334"/>
      <c r="Z67" s="1075"/>
      <c r="AA67" s="1334"/>
      <c r="AB67" s="1289"/>
      <c r="AC67" s="1182"/>
      <c r="AD67" s="69"/>
      <c r="AE67" s="280"/>
      <c r="AF67" s="278"/>
      <c r="AG67" s="10"/>
      <c r="AH67" s="10"/>
      <c r="AI67" s="10"/>
      <c r="AJ67" s="1166"/>
      <c r="AK67" s="1166"/>
      <c r="AL67" s="1715"/>
      <c r="AM67" s="1151"/>
      <c r="AN67" s="938"/>
      <c r="AO67" s="1334"/>
      <c r="AP67" s="1166"/>
      <c r="AQ67" s="1166"/>
      <c r="AR67" s="1715"/>
      <c r="AS67" s="10"/>
      <c r="AT67" s="10"/>
      <c r="AU67" s="10"/>
    </row>
    <row r="68" spans="1:54" ht="30" customHeight="1" thickBot="1" x14ac:dyDescent="0.3">
      <c r="A68" s="2993"/>
      <c r="B68" s="1265"/>
      <c r="C68" s="1334"/>
      <c r="D68" s="1409"/>
      <c r="E68" s="1485"/>
      <c r="F68" s="1053"/>
      <c r="G68" s="1646"/>
      <c r="H68" s="1265"/>
      <c r="I68" s="1646"/>
      <c r="J68" s="1409"/>
      <c r="K68" s="1646"/>
      <c r="L68" s="2005"/>
      <c r="M68" s="3032"/>
      <c r="N68" s="1265"/>
      <c r="O68" s="1646"/>
      <c r="P68" s="1409"/>
      <c r="Q68" s="1334"/>
      <c r="R68" s="2005"/>
      <c r="S68" s="2995"/>
      <c r="V68" s="1409"/>
      <c r="W68" s="1052"/>
      <c r="X68" s="1393"/>
      <c r="Y68" s="1334"/>
      <c r="Z68" s="1482"/>
      <c r="AA68" s="1334"/>
      <c r="AB68" s="1409"/>
      <c r="AC68" s="1425"/>
      <c r="AD68" s="219"/>
      <c r="AE68" s="281"/>
      <c r="AM68" s="1151"/>
      <c r="AN68" s="938"/>
      <c r="AO68" s="1334"/>
    </row>
    <row r="69" spans="1:54" ht="30" customHeight="1" thickBot="1" x14ac:dyDescent="0.3">
      <c r="A69" s="19" t="s">
        <v>1</v>
      </c>
      <c r="B69" s="1064" t="s">
        <v>2</v>
      </c>
      <c r="C69" s="1065"/>
      <c r="D69" s="1065"/>
      <c r="E69" s="1065"/>
      <c r="F69" s="1065"/>
      <c r="G69" s="1066"/>
      <c r="H69" s="1064" t="s">
        <v>3</v>
      </c>
      <c r="I69" s="1065"/>
      <c r="J69" s="1065"/>
      <c r="K69" s="1065"/>
      <c r="L69" s="1065"/>
      <c r="M69" s="1066"/>
      <c r="N69" s="975" t="s">
        <v>135</v>
      </c>
      <c r="O69" s="976"/>
      <c r="P69" s="976"/>
      <c r="Q69" s="976"/>
      <c r="R69" s="976"/>
      <c r="S69" s="977"/>
      <c r="T69" s="975" t="s">
        <v>4</v>
      </c>
      <c r="U69" s="976"/>
      <c r="V69" s="976"/>
      <c r="W69" s="976"/>
      <c r="X69" s="976"/>
      <c r="Y69" s="977"/>
      <c r="Z69" s="1064" t="s">
        <v>5</v>
      </c>
      <c r="AA69" s="1065"/>
      <c r="AB69" s="1065"/>
      <c r="AC69" s="1065"/>
      <c r="AD69" s="1065"/>
      <c r="AE69" s="1066"/>
      <c r="AF69" s="10"/>
      <c r="AM69" s="1151"/>
      <c r="AN69" s="938"/>
      <c r="AO69" s="1334"/>
    </row>
    <row r="70" spans="1:54" ht="30" customHeight="1" x14ac:dyDescent="0.3">
      <c r="A70" s="2923" t="s">
        <v>182</v>
      </c>
      <c r="B70" s="1632"/>
      <c r="C70" s="1633"/>
      <c r="D70" s="1633"/>
      <c r="E70" s="1633"/>
      <c r="F70" s="1633"/>
      <c r="G70" s="1634"/>
      <c r="H70" s="1632"/>
      <c r="I70" s="1633"/>
      <c r="J70" s="1633"/>
      <c r="K70" s="1633"/>
      <c r="L70" s="1633"/>
      <c r="M70" s="1634"/>
      <c r="N70" s="569"/>
      <c r="O70" s="570"/>
      <c r="P70" s="570"/>
      <c r="Q70" s="570"/>
      <c r="R70" s="513" t="s">
        <v>572</v>
      </c>
      <c r="S70" s="2996" t="s">
        <v>695</v>
      </c>
      <c r="T70" s="471"/>
      <c r="U70" s="69"/>
      <c r="V70" s="513" t="s">
        <v>572</v>
      </c>
      <c r="W70" s="1333" t="s">
        <v>696</v>
      </c>
      <c r="X70" s="513" t="s">
        <v>569</v>
      </c>
      <c r="Y70" s="2996" t="s">
        <v>695</v>
      </c>
      <c r="Z70" s="1632"/>
      <c r="AA70" s="1633"/>
      <c r="AB70" s="1633"/>
      <c r="AC70" s="1633"/>
      <c r="AD70" s="1633"/>
      <c r="AE70" s="1634"/>
      <c r="AM70" s="1151"/>
      <c r="AN70" s="938"/>
      <c r="AO70" s="1334"/>
    </row>
    <row r="71" spans="1:54" ht="29.25" customHeight="1" x14ac:dyDescent="0.3">
      <c r="A71" s="2924"/>
      <c r="B71" s="1585"/>
      <c r="C71" s="1586"/>
      <c r="D71" s="1586"/>
      <c r="E71" s="1586"/>
      <c r="F71" s="1586"/>
      <c r="G71" s="1587"/>
      <c r="H71" s="1585"/>
      <c r="I71" s="1586"/>
      <c r="J71" s="1586"/>
      <c r="K71" s="1586"/>
      <c r="L71" s="1586"/>
      <c r="M71" s="1587"/>
      <c r="N71" s="568"/>
      <c r="O71" s="557"/>
      <c r="P71" s="557"/>
      <c r="Q71" s="557"/>
      <c r="R71" s="1289" t="s">
        <v>999</v>
      </c>
      <c r="S71" s="2996"/>
      <c r="T71" s="428"/>
      <c r="U71" s="429"/>
      <c r="V71" s="1289" t="s">
        <v>697</v>
      </c>
      <c r="W71" s="1334"/>
      <c r="X71" s="1289" t="s">
        <v>999</v>
      </c>
      <c r="Y71" s="2996"/>
      <c r="Z71" s="1585"/>
      <c r="AA71" s="1586"/>
      <c r="AB71" s="1586"/>
      <c r="AC71" s="1586"/>
      <c r="AD71" s="1586"/>
      <c r="AE71" s="1587"/>
    </row>
    <row r="72" spans="1:54" ht="29.25" customHeight="1" x14ac:dyDescent="0.3">
      <c r="A72" s="2923" t="s">
        <v>184</v>
      </c>
      <c r="B72" s="430"/>
      <c r="C72" s="431"/>
      <c r="D72" s="431"/>
      <c r="E72" s="431"/>
      <c r="F72" s="431"/>
      <c r="G72" s="432"/>
      <c r="H72" s="430"/>
      <c r="I72" s="431"/>
      <c r="J72" s="431"/>
      <c r="K72" s="431"/>
      <c r="L72" s="431"/>
      <c r="M72" s="432"/>
      <c r="N72" s="568"/>
      <c r="O72" s="557"/>
      <c r="P72" s="557"/>
      <c r="Q72" s="557"/>
      <c r="R72" s="1289"/>
      <c r="S72" s="2996"/>
      <c r="T72" s="69"/>
      <c r="U72" s="69"/>
      <c r="V72" s="1289"/>
      <c r="W72" s="1334"/>
      <c r="X72" s="1289"/>
      <c r="Y72" s="2996"/>
      <c r="Z72" s="431"/>
      <c r="AA72" s="431"/>
      <c r="AB72" s="431"/>
      <c r="AC72" s="431"/>
      <c r="AD72" s="431"/>
      <c r="AE72" s="432"/>
    </row>
    <row r="73" spans="1:54" ht="29.25" customHeight="1" x14ac:dyDescent="0.3">
      <c r="A73" s="2924"/>
      <c r="B73" s="430"/>
      <c r="C73" s="431"/>
      <c r="D73" s="431"/>
      <c r="E73" s="431"/>
      <c r="F73" s="431"/>
      <c r="G73" s="432"/>
      <c r="H73" s="430"/>
      <c r="I73" s="431"/>
      <c r="J73" s="431"/>
      <c r="K73" s="431"/>
      <c r="L73" s="431"/>
      <c r="M73" s="432"/>
      <c r="N73" s="568"/>
      <c r="O73" s="557"/>
      <c r="P73" s="557"/>
      <c r="Q73" s="557"/>
      <c r="R73" s="1289"/>
      <c r="S73" s="2996"/>
      <c r="T73" s="69"/>
      <c r="U73" s="69"/>
      <c r="V73" s="1290"/>
      <c r="W73" s="1334"/>
      <c r="X73" s="1289"/>
      <c r="Y73" s="2996"/>
      <c r="Z73" s="431"/>
      <c r="AA73" s="431"/>
      <c r="AB73" s="431"/>
      <c r="AC73" s="431"/>
      <c r="AD73" s="431"/>
      <c r="AE73" s="432"/>
    </row>
    <row r="74" spans="1:54" ht="29.25" customHeight="1" x14ac:dyDescent="0.3">
      <c r="A74" s="2923" t="s">
        <v>185</v>
      </c>
      <c r="B74" s="2989"/>
      <c r="C74" s="2990"/>
      <c r="D74" s="2990"/>
      <c r="E74" s="2990"/>
      <c r="F74" s="2990"/>
      <c r="G74" s="2991"/>
      <c r="H74" s="2989"/>
      <c r="I74" s="2990"/>
      <c r="J74" s="2990"/>
      <c r="K74" s="2990"/>
      <c r="L74" s="2990"/>
      <c r="M74" s="2991"/>
      <c r="N74" s="568"/>
      <c r="O74" s="557"/>
      <c r="P74" s="557"/>
      <c r="Q74" s="557"/>
      <c r="R74" s="1289"/>
      <c r="S74" s="2996"/>
      <c r="T74" s="397"/>
      <c r="U74" s="3039"/>
      <c r="V74" s="584"/>
      <c r="W74" s="3017"/>
      <c r="X74" s="1289"/>
      <c r="Y74" s="2996"/>
      <c r="Z74" s="2947"/>
      <c r="AA74" s="2947"/>
      <c r="AB74" s="2947"/>
      <c r="AC74" s="2947"/>
      <c r="AD74" s="2947"/>
      <c r="AE74" s="2948"/>
      <c r="AK74" s="10"/>
      <c r="AL74" s="10"/>
      <c r="AM74" s="10"/>
      <c r="AN74" s="10"/>
      <c r="AO74" s="10"/>
      <c r="AP74" s="10"/>
      <c r="AQ74" s="10"/>
      <c r="AR74" s="10"/>
      <c r="AS74" s="10"/>
    </row>
    <row r="75" spans="1:54" ht="18.75" customHeight="1" x14ac:dyDescent="0.3">
      <c r="A75" s="2924"/>
      <c r="B75" s="2986"/>
      <c r="C75" s="2987"/>
      <c r="D75" s="2987"/>
      <c r="E75" s="2987"/>
      <c r="F75" s="2987"/>
      <c r="G75" s="2988"/>
      <c r="H75" s="2986"/>
      <c r="I75" s="2987"/>
      <c r="J75" s="2987"/>
      <c r="K75" s="2987"/>
      <c r="L75" s="2987"/>
      <c r="M75" s="2988"/>
      <c r="N75" s="571"/>
      <c r="O75" s="572"/>
      <c r="P75" s="572"/>
      <c r="Q75" s="572"/>
      <c r="R75" s="1290"/>
      <c r="S75" s="2997"/>
      <c r="T75" s="3033"/>
      <c r="U75" s="3019"/>
      <c r="V75" s="3033"/>
      <c r="W75" s="3018"/>
      <c r="X75" s="1290"/>
      <c r="Y75" s="2997"/>
      <c r="Z75" s="1586"/>
      <c r="AA75" s="1586"/>
      <c r="AB75" s="1586"/>
      <c r="AC75" s="1586"/>
      <c r="AD75" s="1586"/>
      <c r="AE75" s="1587"/>
      <c r="AK75" s="10"/>
      <c r="AL75" s="10"/>
      <c r="AM75" s="1410"/>
      <c r="AN75" s="1166"/>
      <c r="AO75" s="1715"/>
      <c r="AP75" s="10"/>
      <c r="AQ75" s="10"/>
      <c r="AR75" s="10"/>
      <c r="AS75" s="10"/>
    </row>
    <row r="76" spans="1:54" ht="30.75" customHeight="1" x14ac:dyDescent="0.3">
      <c r="A76" s="2923" t="s">
        <v>186</v>
      </c>
      <c r="B76" s="1062"/>
      <c r="C76" s="1020"/>
      <c r="D76" s="1020"/>
      <c r="E76" s="1020"/>
      <c r="F76" s="1020"/>
      <c r="G76" s="1063"/>
      <c r="H76" s="2946"/>
      <c r="I76" s="2947"/>
      <c r="J76" s="2947"/>
      <c r="K76" s="2947"/>
      <c r="L76" s="2947"/>
      <c r="M76" s="2948"/>
      <c r="N76" s="1062"/>
      <c r="O76" s="1020"/>
      <c r="P76" s="1020"/>
      <c r="Q76" s="1020"/>
      <c r="R76" s="1020"/>
      <c r="S76" s="1063"/>
      <c r="T76" s="3033"/>
      <c r="U76" s="3019"/>
      <c r="V76" s="3033"/>
      <c r="W76" s="3019"/>
      <c r="X76" s="261"/>
      <c r="Y76" s="433"/>
      <c r="Z76" s="171"/>
      <c r="AA76" s="171"/>
      <c r="AB76" s="271"/>
      <c r="AC76" s="273"/>
      <c r="AD76" s="171"/>
      <c r="AE76" s="287"/>
      <c r="AK76" s="10"/>
      <c r="AL76" s="10"/>
      <c r="AM76" s="1410"/>
      <c r="AN76" s="1166"/>
      <c r="AO76" s="1715"/>
      <c r="AP76" s="10"/>
      <c r="AQ76" s="10"/>
      <c r="AR76" s="10"/>
      <c r="AS76" s="10"/>
    </row>
    <row r="77" spans="1:54" ht="18.75" customHeight="1" x14ac:dyDescent="0.25">
      <c r="A77" s="2924"/>
      <c r="B77" s="1069"/>
      <c r="C77" s="1070"/>
      <c r="D77" s="1070"/>
      <c r="E77" s="1070"/>
      <c r="F77" s="1070"/>
      <c r="G77" s="1071"/>
      <c r="H77" s="1585"/>
      <c r="I77" s="1586"/>
      <c r="J77" s="1586"/>
      <c r="K77" s="1586"/>
      <c r="L77" s="1586"/>
      <c r="M77" s="1587"/>
      <c r="N77" s="1069"/>
      <c r="O77" s="1070"/>
      <c r="P77" s="1070"/>
      <c r="Q77" s="1070"/>
      <c r="R77" s="1070"/>
      <c r="S77" s="1071"/>
      <c r="T77" s="3033"/>
      <c r="U77" s="3019"/>
      <c r="V77" s="3033"/>
      <c r="W77" s="3019"/>
      <c r="X77" s="392"/>
      <c r="Y77" s="434"/>
      <c r="Z77" s="275"/>
      <c r="AA77" s="171"/>
      <c r="AB77" s="271"/>
      <c r="AC77" s="437"/>
      <c r="AD77" s="171"/>
      <c r="AE77" s="272"/>
      <c r="AK77" s="10"/>
      <c r="AL77" s="10"/>
      <c r="AM77" s="1410"/>
      <c r="AN77" s="1166"/>
      <c r="AO77" s="1715"/>
      <c r="AP77" s="10"/>
      <c r="AQ77" s="10"/>
      <c r="AR77" s="10"/>
      <c r="AS77" s="10"/>
    </row>
    <row r="78" spans="1:54" ht="30.75" customHeight="1" x14ac:dyDescent="0.3">
      <c r="A78" s="2923" t="s">
        <v>187</v>
      </c>
      <c r="B78" s="1062"/>
      <c r="C78" s="1020"/>
      <c r="D78" s="1020"/>
      <c r="E78" s="1020"/>
      <c r="F78" s="1020"/>
      <c r="G78" s="1063"/>
      <c r="H78" s="2946"/>
      <c r="I78" s="2947"/>
      <c r="J78" s="2947"/>
      <c r="K78" s="2947"/>
      <c r="L78" s="2947"/>
      <c r="M78" s="2948"/>
      <c r="N78" s="1062"/>
      <c r="O78" s="1020"/>
      <c r="P78" s="1020"/>
      <c r="Q78" s="1020"/>
      <c r="R78" s="1020"/>
      <c r="S78" s="1063"/>
      <c r="T78" s="3033"/>
      <c r="U78" s="3019"/>
      <c r="V78" s="3033"/>
      <c r="W78" s="3019"/>
      <c r="Z78" s="183"/>
      <c r="AA78" s="274"/>
      <c r="AB78" s="288"/>
      <c r="AC78" s="273"/>
      <c r="AD78" s="274"/>
      <c r="AE78" s="287"/>
      <c r="AK78" s="10"/>
      <c r="AL78" s="10"/>
      <c r="AM78" s="1410"/>
      <c r="AN78" s="1166"/>
      <c r="AO78" s="1715"/>
      <c r="AP78" s="10"/>
      <c r="AQ78" s="10"/>
      <c r="AR78" s="10"/>
      <c r="AS78" s="10"/>
    </row>
    <row r="79" spans="1:54" ht="18.75" customHeight="1" x14ac:dyDescent="0.25">
      <c r="A79" s="2924"/>
      <c r="B79" s="1069"/>
      <c r="C79" s="1070"/>
      <c r="D79" s="1070"/>
      <c r="E79" s="1070"/>
      <c r="F79" s="1070"/>
      <c r="G79" s="1071"/>
      <c r="H79" s="1585"/>
      <c r="I79" s="1586"/>
      <c r="J79" s="1586"/>
      <c r="K79" s="1586"/>
      <c r="L79" s="1586"/>
      <c r="M79" s="1587"/>
      <c r="N79" s="1069"/>
      <c r="O79" s="1070"/>
      <c r="P79" s="1070"/>
      <c r="Q79" s="1070"/>
      <c r="R79" s="1070"/>
      <c r="S79" s="1071"/>
      <c r="T79" s="3034"/>
      <c r="U79" s="3020"/>
      <c r="V79" s="3034"/>
      <c r="W79" s="3020"/>
      <c r="Y79" s="103"/>
      <c r="Z79" s="171"/>
      <c r="AA79" s="171"/>
      <c r="AB79" s="271"/>
      <c r="AC79" s="198"/>
      <c r="AD79" s="275"/>
      <c r="AE79" s="272"/>
      <c r="AK79" s="10"/>
      <c r="AL79" s="10"/>
      <c r="AM79" s="1410"/>
      <c r="AN79" s="1166"/>
      <c r="AO79" s="1715"/>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410"/>
      <c r="AN80" s="1166"/>
      <c r="AO80" s="1715"/>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271" t="s">
        <v>214</v>
      </c>
      <c r="B86" s="2274"/>
      <c r="C86" s="2272" t="str">
        <f>[1]ASIGNATURAS!I257</f>
        <v>Ampliación de Cálculo y Geometría</v>
      </c>
      <c r="D86" s="2272"/>
      <c r="E86" s="2272"/>
      <c r="F86" s="2272"/>
      <c r="G86" s="2272"/>
      <c r="H86" s="2272"/>
      <c r="I86" s="2272"/>
      <c r="J86" s="2272"/>
      <c r="K86" s="2272"/>
      <c r="L86" s="166"/>
      <c r="M86" s="2267" t="s">
        <v>618</v>
      </c>
      <c r="N86" s="2268"/>
      <c r="O86" s="2272" t="s">
        <v>139</v>
      </c>
      <c r="P86" s="2274"/>
      <c r="Q86" s="2272" t="s">
        <v>163</v>
      </c>
      <c r="R86" s="2272"/>
      <c r="S86" s="2272"/>
      <c r="T86" s="2272"/>
      <c r="U86" s="2272"/>
      <c r="V86" s="2272"/>
      <c r="W86" s="2272"/>
      <c r="X86" s="2272"/>
      <c r="Y86" s="2272"/>
      <c r="Z86" s="2272"/>
      <c r="AA86" s="2272"/>
      <c r="AB86" s="2272"/>
      <c r="AC86" s="2272"/>
      <c r="AD86" s="2272"/>
      <c r="AE86" s="2274"/>
    </row>
    <row r="87" spans="1:45" ht="15" x14ac:dyDescent="0.25">
      <c r="A87" s="2985" t="s">
        <v>12</v>
      </c>
      <c r="B87" s="2985"/>
      <c r="C87" s="981" t="str">
        <f>ASIGNATURAS!I319</f>
        <v>Cálculo</v>
      </c>
      <c r="D87" s="982"/>
      <c r="E87" s="982"/>
      <c r="F87" s="982"/>
      <c r="G87" s="982"/>
      <c r="H87" s="982"/>
      <c r="I87" s="982"/>
      <c r="J87" s="982"/>
      <c r="K87" s="982"/>
      <c r="L87" s="982"/>
      <c r="M87" s="1205">
        <v>8218</v>
      </c>
      <c r="N87" s="1205"/>
      <c r="O87" s="2305">
        <v>6</v>
      </c>
      <c r="P87" s="2306"/>
      <c r="Q87" s="2006" t="str">
        <f>ASIGNATURAS!K319</f>
        <v>Elena Cebrian de Barrio</v>
      </c>
      <c r="R87" s="1177"/>
      <c r="S87" s="1177"/>
      <c r="T87" s="1177"/>
      <c r="U87" s="1177"/>
      <c r="V87" s="1177"/>
      <c r="W87" s="1177"/>
      <c r="X87" s="1177"/>
      <c r="Y87" s="1177"/>
      <c r="Z87" s="1177"/>
      <c r="AA87" s="1177"/>
      <c r="AB87" s="1177"/>
      <c r="AC87" s="1177"/>
      <c r="AD87" s="1177"/>
      <c r="AE87" s="981"/>
    </row>
    <row r="88" spans="1:45" ht="15" x14ac:dyDescent="0.25">
      <c r="A88" s="2985" t="s">
        <v>680</v>
      </c>
      <c r="B88" s="2985"/>
      <c r="C88" s="981" t="str">
        <f>ASIGNATURAS!I320</f>
        <v>Fundamentos de Electricdad en Medicina</v>
      </c>
      <c r="D88" s="982"/>
      <c r="E88" s="982"/>
      <c r="F88" s="982"/>
      <c r="G88" s="982"/>
      <c r="H88" s="982"/>
      <c r="I88" s="982"/>
      <c r="J88" s="982"/>
      <c r="K88" s="982"/>
      <c r="L88" s="982"/>
      <c r="M88" s="1205">
        <v>8219</v>
      </c>
      <c r="N88" s="1205"/>
      <c r="O88" s="936">
        <v>6</v>
      </c>
      <c r="P88" s="1205"/>
      <c r="Q88" s="2006" t="str">
        <f>ASIGNATURAS!K320</f>
        <v>Ricardo Martínez Rayón</v>
      </c>
      <c r="R88" s="1177"/>
      <c r="S88" s="1177"/>
      <c r="T88" s="1177"/>
      <c r="U88" s="1177"/>
      <c r="V88" s="1177"/>
      <c r="W88" s="1177"/>
      <c r="X88" s="1177"/>
      <c r="Y88" s="1177"/>
      <c r="Z88" s="1177"/>
      <c r="AA88" s="1177"/>
      <c r="AB88" s="1177"/>
      <c r="AC88" s="1177"/>
      <c r="AD88" s="1177"/>
      <c r="AE88" s="981"/>
    </row>
    <row r="89" spans="1:45" ht="15" x14ac:dyDescent="0.25">
      <c r="A89" s="2985" t="s">
        <v>697</v>
      </c>
      <c r="B89" s="2985"/>
      <c r="C89" s="981" t="str">
        <f>ASIGNATURAS!I321</f>
        <v>Estructura y Función del Cuerpo Humano I</v>
      </c>
      <c r="D89" s="982"/>
      <c r="E89" s="982"/>
      <c r="F89" s="982"/>
      <c r="G89" s="982"/>
      <c r="H89" s="982"/>
      <c r="I89" s="982"/>
      <c r="J89" s="982"/>
      <c r="K89" s="982"/>
      <c r="L89" s="982"/>
      <c r="M89" s="1205">
        <v>8220</v>
      </c>
      <c r="N89" s="1205"/>
      <c r="O89" s="936">
        <v>6</v>
      </c>
      <c r="P89" s="1205"/>
      <c r="Q89" s="2006" t="str">
        <f>ASIGNATURAS!K321</f>
        <v>Idoya Rodríguez Alonso, Dario Fernández</v>
      </c>
      <c r="R89" s="1177"/>
      <c r="S89" s="1177"/>
      <c r="T89" s="1177"/>
      <c r="U89" s="1177"/>
      <c r="V89" s="1177"/>
      <c r="W89" s="1177"/>
      <c r="X89" s="1177"/>
      <c r="Y89" s="1177"/>
      <c r="Z89" s="1177"/>
      <c r="AA89" s="1177"/>
      <c r="AB89" s="1177"/>
      <c r="AC89" s="1177"/>
      <c r="AD89" s="1177"/>
      <c r="AE89" s="981"/>
    </row>
    <row r="90" spans="1:45" ht="15" x14ac:dyDescent="0.25">
      <c r="A90" s="2985" t="s">
        <v>682</v>
      </c>
      <c r="B90" s="2985"/>
      <c r="C90" s="981" t="str">
        <f>ASIGNATURAS!I322</f>
        <v xml:space="preserve">Fundamentos de Programación </v>
      </c>
      <c r="D90" s="982"/>
      <c r="E90" s="982"/>
      <c r="F90" s="982"/>
      <c r="G90" s="982"/>
      <c r="H90" s="982"/>
      <c r="I90" s="982"/>
      <c r="J90" s="982"/>
      <c r="K90" s="982"/>
      <c r="L90" s="982"/>
      <c r="M90" s="1205">
        <v>8221</v>
      </c>
      <c r="N90" s="1205"/>
      <c r="O90" s="936">
        <v>6</v>
      </c>
      <c r="P90" s="1205"/>
      <c r="Q90" s="2006" t="str">
        <f>ASIGNATURAS!K322</f>
        <v>José Francisco Díez Pastor</v>
      </c>
      <c r="R90" s="1177"/>
      <c r="S90" s="1177"/>
      <c r="T90" s="1177"/>
      <c r="U90" s="1177"/>
      <c r="V90" s="1177"/>
      <c r="W90" s="1177"/>
      <c r="X90" s="1177"/>
      <c r="Y90" s="1177"/>
      <c r="Z90" s="1177"/>
      <c r="AA90" s="1177"/>
      <c r="AB90" s="1177"/>
      <c r="AC90" s="1177"/>
      <c r="AD90" s="1177"/>
      <c r="AE90" s="981"/>
    </row>
    <row r="91" spans="1:45" ht="15" x14ac:dyDescent="0.25">
      <c r="A91" s="2985" t="s">
        <v>677</v>
      </c>
      <c r="B91" s="2985"/>
      <c r="C91" s="981" t="str">
        <f>ASIGNATURAS!I323</f>
        <v>Bioquímica Estructural y Metabólica</v>
      </c>
      <c r="D91" s="982"/>
      <c r="E91" s="982"/>
      <c r="F91" s="982"/>
      <c r="G91" s="982"/>
      <c r="H91" s="982"/>
      <c r="I91" s="982"/>
      <c r="J91" s="982"/>
      <c r="K91" s="982"/>
      <c r="L91" s="982"/>
      <c r="M91" s="1205">
        <v>8222</v>
      </c>
      <c r="N91" s="1205"/>
      <c r="O91" s="936">
        <v>6</v>
      </c>
      <c r="P91" s="1205"/>
      <c r="Q91" s="2006" t="str">
        <f>ASIGNATURAS!K323</f>
        <v>Natividad Ortega, David Palacios</v>
      </c>
      <c r="R91" s="1177"/>
      <c r="S91" s="1177"/>
      <c r="T91" s="1177"/>
      <c r="U91" s="1177"/>
      <c r="V91" s="1177"/>
      <c r="W91" s="1177"/>
      <c r="X91" s="1177"/>
      <c r="Y91" s="1177"/>
      <c r="Z91" s="1177"/>
      <c r="AA91" s="1177"/>
      <c r="AB91" s="1177"/>
      <c r="AC91" s="1177"/>
      <c r="AD91" s="1177"/>
      <c r="AE91" s="981"/>
    </row>
    <row r="92" spans="1:45" ht="15" x14ac:dyDescent="0.25">
      <c r="A92" s="3035"/>
      <c r="B92" s="3035"/>
      <c r="C92" s="981"/>
      <c r="D92" s="982"/>
      <c r="E92" s="982"/>
      <c r="F92" s="982"/>
      <c r="G92" s="982"/>
      <c r="H92" s="982"/>
      <c r="I92" s="982"/>
      <c r="J92" s="982"/>
      <c r="K92" s="982"/>
      <c r="L92" s="982"/>
      <c r="M92" s="1205"/>
      <c r="N92" s="1205"/>
      <c r="O92" s="936"/>
      <c r="P92" s="1205"/>
      <c r="Q92" s="2006"/>
      <c r="R92" s="1177"/>
      <c r="S92" s="1177"/>
      <c r="T92" s="1177"/>
      <c r="U92" s="1177"/>
      <c r="V92" s="1177"/>
      <c r="W92" s="1177"/>
      <c r="X92" s="1177"/>
      <c r="Y92" s="1177"/>
      <c r="Z92" s="1177"/>
      <c r="AA92" s="1177"/>
      <c r="AB92" s="1177"/>
      <c r="AC92" s="1177"/>
      <c r="AD92" s="1177"/>
      <c r="AE92" s="981"/>
    </row>
    <row r="93" spans="1:45" ht="19.5" customHeight="1" x14ac:dyDescent="0.25"/>
    <row r="94" spans="1:45" ht="18" customHeight="1" x14ac:dyDescent="0.25">
      <c r="A94" s="2972" t="s">
        <v>165</v>
      </c>
      <c r="B94" s="2973"/>
      <c r="C94" s="2973"/>
      <c r="D94" s="2973"/>
      <c r="E94" s="2974"/>
    </row>
    <row r="95" spans="1:45" ht="15" x14ac:dyDescent="0.25">
      <c r="A95" s="2928" t="s">
        <v>720</v>
      </c>
      <c r="B95" s="2975"/>
      <c r="C95" s="2975"/>
      <c r="D95" s="2975"/>
      <c r="E95" s="2976"/>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6" t="s">
        <v>684</v>
      </c>
      <c r="B99" s="2297"/>
      <c r="C99" s="2297"/>
      <c r="D99" s="2297"/>
      <c r="E99" s="2297"/>
      <c r="F99" s="2297"/>
      <c r="G99" s="2297"/>
      <c r="H99" s="2297"/>
      <c r="I99" s="2297"/>
      <c r="J99" s="2297"/>
      <c r="K99" s="2297"/>
      <c r="L99" s="2297"/>
      <c r="M99" s="2297"/>
      <c r="N99" s="2297"/>
      <c r="O99" s="2297"/>
      <c r="P99" s="2297"/>
      <c r="Q99" s="2297"/>
      <c r="R99" s="2297"/>
      <c r="S99" s="2297"/>
      <c r="T99" s="2297"/>
      <c r="U99" s="2297"/>
      <c r="V99" s="2297"/>
      <c r="W99" s="2297"/>
      <c r="X99" s="2297"/>
      <c r="Y99" s="2298"/>
      <c r="Z99" s="2254" t="str">
        <f>Z1</f>
        <v>Curso 2024-2025</v>
      </c>
      <c r="AA99" s="2254"/>
      <c r="AB99" s="2254"/>
      <c r="AC99" s="2254"/>
      <c r="AD99" s="2254"/>
      <c r="AE99" s="2255"/>
    </row>
    <row r="100" spans="1:47" s="8" customFormat="1" ht="23.25" customHeight="1" x14ac:dyDescent="0.4">
      <c r="A100" s="2291" t="s">
        <v>757</v>
      </c>
      <c r="B100" s="2292"/>
      <c r="C100" s="2292"/>
      <c r="D100" s="2292"/>
      <c r="E100" s="2292"/>
      <c r="F100" s="2292"/>
      <c r="G100" s="2292"/>
      <c r="H100" s="2292"/>
      <c r="I100" s="2292"/>
      <c r="J100" s="2292"/>
      <c r="K100" s="2292"/>
      <c r="L100" s="2292"/>
      <c r="M100" s="2292"/>
      <c r="N100" s="2292"/>
      <c r="O100" s="2292"/>
      <c r="P100" s="2292"/>
      <c r="Q100" s="2292"/>
      <c r="R100" s="2292"/>
      <c r="S100" s="2292"/>
      <c r="T100" s="2292"/>
      <c r="U100" s="2292"/>
      <c r="V100" s="2292"/>
      <c r="W100" s="2292"/>
      <c r="X100" s="2292"/>
      <c r="Y100" s="2293"/>
      <c r="Z100" s="2912" t="s">
        <v>155</v>
      </c>
      <c r="AA100" s="2279"/>
      <c r="AB100" s="2279"/>
      <c r="AC100" s="2279"/>
      <c r="AD100" s="2279"/>
      <c r="AE100" s="2280"/>
    </row>
    <row r="101" spans="1:47" s="8" customFormat="1" ht="23.25" customHeight="1" x14ac:dyDescent="0.4">
      <c r="A101" s="2264" t="s">
        <v>177</v>
      </c>
      <c r="B101" s="2265"/>
      <c r="C101" s="2265"/>
      <c r="D101" s="2265"/>
      <c r="E101" s="2265"/>
      <c r="F101" s="2265"/>
      <c r="G101" s="2265"/>
      <c r="H101" s="2265"/>
      <c r="I101" s="2265"/>
      <c r="J101" s="2265"/>
      <c r="K101" s="2265"/>
      <c r="L101" s="2265"/>
      <c r="M101" s="2265"/>
      <c r="N101" s="2265"/>
      <c r="O101" s="2265"/>
      <c r="P101" s="2265"/>
      <c r="Q101" s="2265"/>
      <c r="R101" s="2265"/>
      <c r="S101" s="2265"/>
      <c r="T101" s="2265"/>
      <c r="U101" s="2265"/>
      <c r="V101" s="2265"/>
      <c r="W101" s="2265"/>
      <c r="X101" s="2265"/>
      <c r="Y101" s="2266"/>
      <c r="Z101" s="2281"/>
      <c r="AA101" s="2281"/>
      <c r="AB101" s="2281"/>
      <c r="AC101" s="2281"/>
      <c r="AD101" s="2281"/>
      <c r="AE101" s="2282"/>
    </row>
    <row r="102" spans="1:47" ht="26.25" customHeight="1" thickBot="1" x14ac:dyDescent="0.3">
      <c r="A102" s="9" t="s">
        <v>699</v>
      </c>
      <c r="AE102" s="367"/>
    </row>
    <row r="103" spans="1:47" ht="25.5" customHeight="1" thickBot="1" x14ac:dyDescent="0.3">
      <c r="A103" s="165" t="s">
        <v>1</v>
      </c>
      <c r="B103" s="2284" t="s">
        <v>2</v>
      </c>
      <c r="C103" s="2284"/>
      <c r="D103" s="2284"/>
      <c r="E103" s="2284"/>
      <c r="F103" s="2284"/>
      <c r="G103" s="2285"/>
      <c r="H103" s="2284" t="s">
        <v>3</v>
      </c>
      <c r="I103" s="2284"/>
      <c r="J103" s="2284"/>
      <c r="K103" s="2284"/>
      <c r="L103" s="2284"/>
      <c r="M103" s="2285"/>
      <c r="N103" s="2286" t="s">
        <v>135</v>
      </c>
      <c r="O103" s="2287"/>
      <c r="P103" s="2287"/>
      <c r="Q103" s="2287"/>
      <c r="R103" s="2287"/>
      <c r="S103" s="2288"/>
      <c r="T103" s="2284" t="s">
        <v>4</v>
      </c>
      <c r="U103" s="2284"/>
      <c r="V103" s="2284"/>
      <c r="W103" s="2284"/>
      <c r="X103" s="2284"/>
      <c r="Y103" s="2285"/>
      <c r="Z103" s="2286" t="s">
        <v>5</v>
      </c>
      <c r="AA103" s="2287"/>
      <c r="AB103" s="2287"/>
      <c r="AC103" s="2287"/>
      <c r="AD103" s="2287"/>
      <c r="AE103" s="2288"/>
    </row>
    <row r="104" spans="1:47" ht="12.75" hidden="1" customHeight="1" thickBot="1" x14ac:dyDescent="0.35">
      <c r="A104" s="2923" t="s">
        <v>10</v>
      </c>
      <c r="B104" s="931"/>
      <c r="C104" s="932"/>
      <c r="D104" s="932"/>
      <c r="E104" s="932"/>
      <c r="F104" s="932"/>
      <c r="G104" s="933"/>
      <c r="H104" s="2966"/>
      <c r="I104" s="2967"/>
      <c r="J104" s="2967"/>
      <c r="K104" s="2967"/>
      <c r="L104" s="2967"/>
      <c r="M104" s="2968"/>
      <c r="N104" s="2966"/>
      <c r="O104" s="2967"/>
      <c r="P104" s="2967"/>
      <c r="Q104" s="2967"/>
      <c r="R104" s="2967"/>
      <c r="S104" s="2968"/>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4"/>
      <c r="B105" s="1297"/>
      <c r="C105" s="1298"/>
      <c r="D105" s="1298"/>
      <c r="E105" s="1298"/>
      <c r="F105" s="1298"/>
      <c r="G105" s="1299"/>
      <c r="H105" s="1297"/>
      <c r="I105" s="1298"/>
      <c r="J105" s="1298"/>
      <c r="K105" s="1298"/>
      <c r="L105" s="1298"/>
      <c r="M105" s="1299"/>
      <c r="N105" s="1297"/>
      <c r="O105" s="1298"/>
      <c r="P105" s="1298"/>
      <c r="Q105" s="1298"/>
      <c r="R105" s="1298"/>
      <c r="S105" s="1299"/>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3"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4"/>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3" t="s">
        <v>6</v>
      </c>
      <c r="B108" s="931"/>
      <c r="C108" s="932"/>
      <c r="D108" s="932"/>
      <c r="E108" s="932"/>
      <c r="F108" s="932"/>
      <c r="G108" s="933"/>
      <c r="H108" s="931"/>
      <c r="I108" s="932"/>
      <c r="J108" s="932"/>
      <c r="K108" s="932"/>
      <c r="L108" s="932"/>
      <c r="M108" s="933"/>
      <c r="N108" s="931"/>
      <c r="O108" s="932"/>
      <c r="P108" s="932"/>
      <c r="Q108" s="932"/>
      <c r="R108" s="932"/>
      <c r="S108" s="933"/>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4"/>
      <c r="B109" s="1297"/>
      <c r="C109" s="1298"/>
      <c r="D109" s="1298"/>
      <c r="E109" s="1298"/>
      <c r="F109" s="1298"/>
      <c r="G109" s="1299"/>
      <c r="H109" s="1297"/>
      <c r="I109" s="1298"/>
      <c r="J109" s="1298"/>
      <c r="K109" s="1298"/>
      <c r="L109" s="1298"/>
      <c r="M109" s="1299"/>
      <c r="N109" s="2969"/>
      <c r="O109" s="2970"/>
      <c r="P109" s="2970"/>
      <c r="Q109" s="2970"/>
      <c r="R109" s="2970"/>
      <c r="S109" s="297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3" t="s">
        <v>7</v>
      </c>
      <c r="B110" s="931"/>
      <c r="C110" s="932"/>
      <c r="D110" s="932"/>
      <c r="E110" s="932"/>
      <c r="F110" s="932"/>
      <c r="G110" s="933"/>
      <c r="H110" s="931"/>
      <c r="I110" s="932"/>
      <c r="J110" s="932"/>
      <c r="K110" s="932"/>
      <c r="L110" s="932"/>
      <c r="M110" s="933"/>
      <c r="N110" s="931"/>
      <c r="O110" s="932"/>
      <c r="P110" s="932"/>
      <c r="Q110" s="932"/>
      <c r="R110" s="932"/>
      <c r="S110" s="933"/>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4"/>
      <c r="B111" s="1297"/>
      <c r="C111" s="1298"/>
      <c r="D111" s="1298"/>
      <c r="E111" s="1298"/>
      <c r="F111" s="1298"/>
      <c r="G111" s="1299"/>
      <c r="H111" s="1297"/>
      <c r="I111" s="1298"/>
      <c r="J111" s="1298"/>
      <c r="K111" s="1298"/>
      <c r="L111" s="1298"/>
      <c r="M111" s="1299"/>
      <c r="N111" s="1297"/>
      <c r="O111" s="1298"/>
      <c r="P111" s="1298"/>
      <c r="Q111" s="1298"/>
      <c r="R111" s="1298"/>
      <c r="S111" s="1299"/>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3" t="s">
        <v>8</v>
      </c>
      <c r="B112" s="931"/>
      <c r="C112" s="932"/>
      <c r="D112" s="932"/>
      <c r="E112" s="932"/>
      <c r="F112" s="932"/>
      <c r="G112" s="933"/>
      <c r="H112" s="931"/>
      <c r="I112" s="932"/>
      <c r="J112" s="932"/>
      <c r="K112" s="932"/>
      <c r="L112" s="932"/>
      <c r="M112" s="933"/>
      <c r="N112" s="2961"/>
      <c r="O112" s="2320"/>
      <c r="P112" s="2320"/>
      <c r="Q112" s="2320"/>
      <c r="R112" s="2320"/>
      <c r="S112" s="2962"/>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4"/>
      <c r="B113" s="1297"/>
      <c r="C113" s="1298"/>
      <c r="D113" s="1298"/>
      <c r="E113" s="1298"/>
      <c r="F113" s="1298"/>
      <c r="G113" s="1299"/>
      <c r="H113" s="1297"/>
      <c r="I113" s="1298"/>
      <c r="J113" s="1298"/>
      <c r="K113" s="1298"/>
      <c r="L113" s="1298"/>
      <c r="M113" s="1299"/>
      <c r="N113" s="1297"/>
      <c r="O113" s="1298"/>
      <c r="P113" s="1298"/>
      <c r="Q113" s="1298"/>
      <c r="R113" s="1298"/>
      <c r="S113" s="1299"/>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3" t="s">
        <v>9</v>
      </c>
      <c r="B114" s="931"/>
      <c r="C114" s="932"/>
      <c r="D114" s="932"/>
      <c r="E114" s="932"/>
      <c r="F114" s="932"/>
      <c r="G114" s="933"/>
      <c r="H114" s="931"/>
      <c r="I114" s="932"/>
      <c r="J114" s="932"/>
      <c r="K114" s="932"/>
      <c r="L114" s="932"/>
      <c r="M114" s="933"/>
      <c r="N114" s="2961"/>
      <c r="O114" s="2320"/>
      <c r="P114" s="2320"/>
      <c r="Q114" s="2320"/>
      <c r="R114" s="2320"/>
      <c r="S114" s="2962"/>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4"/>
      <c r="B115" s="1297"/>
      <c r="C115" s="1298"/>
      <c r="D115" s="1298"/>
      <c r="E115" s="1298"/>
      <c r="F115" s="1298"/>
      <c r="G115" s="1299"/>
      <c r="H115" s="1297"/>
      <c r="I115" s="1298"/>
      <c r="J115" s="1298"/>
      <c r="K115" s="1298"/>
      <c r="L115" s="1298"/>
      <c r="M115" s="1299"/>
      <c r="N115" s="1297"/>
      <c r="O115" s="1298"/>
      <c r="P115" s="1298"/>
      <c r="Q115" s="1298"/>
      <c r="R115" s="1298"/>
      <c r="S115" s="1299"/>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1064" t="s">
        <v>2</v>
      </c>
      <c r="C116" s="1065"/>
      <c r="D116" s="1065"/>
      <c r="E116" s="1065"/>
      <c r="F116" s="1065"/>
      <c r="G116" s="1066"/>
      <c r="H116" s="975" t="s">
        <v>3</v>
      </c>
      <c r="I116" s="976"/>
      <c r="J116" s="976"/>
      <c r="K116" s="976"/>
      <c r="L116" s="976"/>
      <c r="M116" s="977"/>
      <c r="N116" s="1064" t="s">
        <v>135</v>
      </c>
      <c r="O116" s="1065"/>
      <c r="P116" s="1065"/>
      <c r="Q116" s="976"/>
      <c r="R116" s="976"/>
      <c r="S116" s="977"/>
      <c r="T116" s="1064" t="s">
        <v>4</v>
      </c>
      <c r="U116" s="1065"/>
      <c r="V116" s="1065"/>
      <c r="W116" s="1065"/>
      <c r="X116" s="1065"/>
      <c r="Y116" s="1066"/>
      <c r="Z116" s="975" t="s">
        <v>5</v>
      </c>
      <c r="AA116" s="976"/>
      <c r="AB116" s="976"/>
      <c r="AC116" s="976"/>
      <c r="AD116" s="976"/>
      <c r="AE116" s="977"/>
    </row>
    <row r="117" spans="1:47" ht="30" customHeight="1" x14ac:dyDescent="0.3">
      <c r="A117" s="2978" t="s">
        <v>788</v>
      </c>
      <c r="B117" s="2966"/>
      <c r="C117" s="2967"/>
      <c r="D117" s="2967"/>
      <c r="E117" s="2967"/>
      <c r="F117" s="2967"/>
      <c r="G117" s="2968"/>
      <c r="H117" s="2966"/>
      <c r="I117" s="2967"/>
      <c r="J117" s="2967"/>
      <c r="K117" s="2967"/>
      <c r="L117" s="2967"/>
      <c r="M117" s="2968"/>
      <c r="T117" s="931"/>
      <c r="U117" s="932"/>
      <c r="V117" s="932"/>
      <c r="W117" s="932"/>
      <c r="X117" s="932"/>
      <c r="Y117" s="933"/>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964"/>
      <c r="C118" s="965"/>
      <c r="D118" s="965"/>
      <c r="E118" s="965"/>
      <c r="F118" s="965"/>
      <c r="G118" s="1027"/>
      <c r="H118" s="964"/>
      <c r="I118" s="965"/>
      <c r="J118" s="965"/>
      <c r="K118" s="965"/>
      <c r="L118" s="965"/>
      <c r="M118" s="965"/>
      <c r="N118" s="2983" t="s">
        <v>569</v>
      </c>
      <c r="O118" s="1657" t="s">
        <v>789</v>
      </c>
      <c r="P118" s="20"/>
      <c r="Q118" s="20"/>
      <c r="R118" s="20"/>
      <c r="S118" s="20"/>
      <c r="T118" s="964"/>
      <c r="U118" s="965"/>
      <c r="V118" s="965"/>
      <c r="W118" s="965"/>
      <c r="X118" s="965"/>
      <c r="Y118" s="1027"/>
      <c r="Z118" s="494"/>
      <c r="AA118" s="20"/>
      <c r="AB118" s="365"/>
      <c r="AC118" s="365"/>
      <c r="AD118" s="365"/>
      <c r="AE118" s="371"/>
      <c r="AG118" s="10"/>
      <c r="AH118" s="10"/>
      <c r="AI118" s="10"/>
      <c r="AN118" s="10"/>
      <c r="AO118" s="10"/>
      <c r="AU118" s="10"/>
    </row>
    <row r="119" spans="1:47" ht="30" customHeight="1" x14ac:dyDescent="0.3">
      <c r="A119" s="2923" t="s">
        <v>183</v>
      </c>
      <c r="B119" s="994" t="s">
        <v>1000</v>
      </c>
      <c r="C119" s="995"/>
      <c r="D119" s="995"/>
      <c r="E119" s="995"/>
      <c r="F119" s="995"/>
      <c r="G119" s="996"/>
      <c r="H119" s="963" t="s">
        <v>762</v>
      </c>
      <c r="I119" s="957"/>
      <c r="J119" s="957"/>
      <c r="K119" s="957"/>
      <c r="L119" s="957"/>
      <c r="M119" s="957"/>
      <c r="N119" s="2984"/>
      <c r="O119" s="1182"/>
      <c r="P119" s="386" t="s">
        <v>570</v>
      </c>
      <c r="Q119" s="2980" t="s">
        <v>790</v>
      </c>
      <c r="R119" s="1408" t="s">
        <v>1035</v>
      </c>
      <c r="S119" s="2955" t="s">
        <v>1060</v>
      </c>
      <c r="T119" s="963" t="s">
        <v>764</v>
      </c>
      <c r="U119" s="957"/>
      <c r="V119" s="957"/>
      <c r="W119" s="957"/>
      <c r="X119" s="957"/>
      <c r="Y119" s="958"/>
      <c r="Z119" s="963" t="s">
        <v>1001</v>
      </c>
      <c r="AA119" s="957"/>
      <c r="AB119" s="957"/>
      <c r="AC119" s="957"/>
      <c r="AD119" s="957"/>
      <c r="AE119" s="958"/>
      <c r="AG119" s="10"/>
      <c r="AH119" s="10"/>
      <c r="AI119" s="10"/>
      <c r="AJ119" s="10"/>
      <c r="AK119" s="10"/>
      <c r="AO119" s="10"/>
      <c r="AP119" s="10"/>
      <c r="AQ119" s="10"/>
      <c r="AR119" s="10"/>
      <c r="AU119" s="10"/>
    </row>
    <row r="120" spans="1:47" ht="30" customHeight="1" x14ac:dyDescent="0.25">
      <c r="A120" s="2924"/>
      <c r="B120" s="951" t="s">
        <v>155</v>
      </c>
      <c r="C120" s="952"/>
      <c r="D120" s="952"/>
      <c r="E120" s="952"/>
      <c r="F120" s="952"/>
      <c r="G120" s="953"/>
      <c r="H120" s="951" t="s">
        <v>155</v>
      </c>
      <c r="I120" s="952"/>
      <c r="J120" s="952"/>
      <c r="K120" s="952"/>
      <c r="L120" s="952"/>
      <c r="M120" s="953"/>
      <c r="N120" s="1075" t="s">
        <v>1000</v>
      </c>
      <c r="O120" s="1182"/>
      <c r="P120" s="1289" t="s">
        <v>760</v>
      </c>
      <c r="Q120" s="1711"/>
      <c r="R120" s="1289"/>
      <c r="S120" s="2956"/>
      <c r="T120" s="951" t="s">
        <v>155</v>
      </c>
      <c r="U120" s="952"/>
      <c r="V120" s="952"/>
      <c r="W120" s="952"/>
      <c r="X120" s="952"/>
      <c r="Y120" s="953"/>
      <c r="Z120" s="951" t="s">
        <v>155</v>
      </c>
      <c r="AA120" s="952"/>
      <c r="AB120" s="952"/>
      <c r="AC120" s="952"/>
      <c r="AD120" s="952"/>
      <c r="AE120" s="953"/>
      <c r="AF120" s="33"/>
      <c r="AG120" s="378"/>
      <c r="AH120" s="10"/>
      <c r="AI120" s="10"/>
      <c r="AO120" s="10"/>
      <c r="AU120" s="10"/>
    </row>
    <row r="121" spans="1:47" ht="30" customHeight="1" x14ac:dyDescent="0.3">
      <c r="A121" s="2923" t="s">
        <v>182</v>
      </c>
      <c r="B121" s="994" t="s">
        <v>1000</v>
      </c>
      <c r="C121" s="995"/>
      <c r="D121" s="995"/>
      <c r="E121" s="995"/>
      <c r="F121" s="995"/>
      <c r="G121" s="996"/>
      <c r="H121" s="994" t="s">
        <v>764</v>
      </c>
      <c r="I121" s="995"/>
      <c r="J121" s="995"/>
      <c r="K121" s="995"/>
      <c r="L121" s="995"/>
      <c r="M121" s="996"/>
      <c r="N121" s="1075"/>
      <c r="O121" s="1182"/>
      <c r="P121" s="1289"/>
      <c r="Q121" s="1711"/>
      <c r="R121" s="1289"/>
      <c r="S121" s="2956"/>
      <c r="T121" s="994" t="s">
        <v>1001</v>
      </c>
      <c r="U121" s="995"/>
      <c r="V121" s="995"/>
      <c r="W121" s="995"/>
      <c r="X121" s="995"/>
      <c r="Y121" s="996"/>
      <c r="Z121" s="963" t="s">
        <v>762</v>
      </c>
      <c r="AA121" s="957"/>
      <c r="AB121" s="957"/>
      <c r="AC121" s="957"/>
      <c r="AD121" s="957"/>
      <c r="AE121" s="958"/>
      <c r="AH121" s="10"/>
      <c r="AI121" s="10"/>
      <c r="AJ121" s="10"/>
      <c r="AK121" s="10"/>
      <c r="AO121" s="10"/>
      <c r="AP121" s="10"/>
      <c r="AQ121" s="10"/>
      <c r="AR121" s="10"/>
      <c r="AU121" s="10"/>
    </row>
    <row r="122" spans="1:47" ht="30" customHeight="1" x14ac:dyDescent="0.25">
      <c r="A122" s="2924"/>
      <c r="B122" s="951" t="s">
        <v>155</v>
      </c>
      <c r="C122" s="952"/>
      <c r="D122" s="952"/>
      <c r="E122" s="952"/>
      <c r="F122" s="952"/>
      <c r="G122" s="953"/>
      <c r="H122" s="951" t="s">
        <v>155</v>
      </c>
      <c r="I122" s="952"/>
      <c r="J122" s="952"/>
      <c r="K122" s="952"/>
      <c r="L122" s="952"/>
      <c r="M122" s="953"/>
      <c r="N122" s="1075"/>
      <c r="O122" s="1182"/>
      <c r="P122" s="1290"/>
      <c r="Q122" s="1712"/>
      <c r="R122" s="1290"/>
      <c r="S122" s="2957"/>
      <c r="T122" s="951" t="s">
        <v>155</v>
      </c>
      <c r="U122" s="952"/>
      <c r="V122" s="952"/>
      <c r="W122" s="952"/>
      <c r="X122" s="952"/>
      <c r="Y122" s="953"/>
      <c r="Z122" s="951" t="s">
        <v>155</v>
      </c>
      <c r="AA122" s="952"/>
      <c r="AB122" s="952"/>
      <c r="AC122" s="952"/>
      <c r="AD122" s="952"/>
      <c r="AE122" s="953"/>
      <c r="AF122" s="33"/>
      <c r="AH122" s="10"/>
      <c r="AI122" s="10"/>
      <c r="AJ122" s="1711"/>
      <c r="AO122" s="10"/>
      <c r="AU122" s="10"/>
    </row>
    <row r="123" spans="1:47" ht="30" customHeight="1" x14ac:dyDescent="0.3">
      <c r="A123" s="2923" t="s">
        <v>184</v>
      </c>
      <c r="B123" s="994" t="s">
        <v>760</v>
      </c>
      <c r="C123" s="995"/>
      <c r="D123" s="995"/>
      <c r="E123" s="995"/>
      <c r="F123" s="995"/>
      <c r="G123" s="996"/>
      <c r="H123" s="1532" t="s">
        <v>764</v>
      </c>
      <c r="I123" s="1223" t="s">
        <v>569</v>
      </c>
      <c r="J123" s="1324" t="s">
        <v>735</v>
      </c>
      <c r="K123" s="1286" t="s">
        <v>762</v>
      </c>
      <c r="L123" s="1223" t="s">
        <v>570</v>
      </c>
      <c r="M123" s="1333" t="s">
        <v>557</v>
      </c>
      <c r="N123" s="1265"/>
      <c r="O123" s="1425"/>
      <c r="P123" s="392"/>
      <c r="Q123" s="501"/>
      <c r="R123" s="2952" t="s">
        <v>1061</v>
      </c>
      <c r="S123" s="2955" t="s">
        <v>1036</v>
      </c>
      <c r="T123" s="1286" t="s">
        <v>1001</v>
      </c>
      <c r="U123" s="1223" t="s">
        <v>569</v>
      </c>
      <c r="V123" s="1324" t="s">
        <v>735</v>
      </c>
      <c r="W123" s="1150" t="s">
        <v>764</v>
      </c>
      <c r="X123" s="1223" t="s">
        <v>570</v>
      </c>
      <c r="Y123" s="1183" t="s">
        <v>141</v>
      </c>
      <c r="Z123" s="1532" t="s">
        <v>762</v>
      </c>
      <c r="AA123" s="1223" t="s">
        <v>569</v>
      </c>
      <c r="AB123" s="1324" t="s">
        <v>557</v>
      </c>
      <c r="AC123" s="1286" t="s">
        <v>1001</v>
      </c>
      <c r="AD123" s="1223" t="s">
        <v>570</v>
      </c>
      <c r="AE123" s="1183" t="s">
        <v>735</v>
      </c>
      <c r="AH123" s="10"/>
      <c r="AI123" s="10"/>
      <c r="AJ123" s="1711"/>
      <c r="AK123" s="10"/>
      <c r="AN123" s="10"/>
      <c r="AO123" s="10"/>
      <c r="AP123" s="10"/>
      <c r="AQ123" s="10"/>
      <c r="AR123" s="10"/>
      <c r="AU123" s="10"/>
    </row>
    <row r="124" spans="1:47" ht="30" customHeight="1" x14ac:dyDescent="0.25">
      <c r="A124" s="2924"/>
      <c r="B124" s="951" t="s">
        <v>155</v>
      </c>
      <c r="C124" s="952"/>
      <c r="D124" s="952"/>
      <c r="E124" s="952"/>
      <c r="F124" s="952"/>
      <c r="G124" s="953"/>
      <c r="H124" s="1398"/>
      <c r="I124" s="938"/>
      <c r="J124" s="1051"/>
      <c r="K124" s="1287"/>
      <c r="L124" s="938"/>
      <c r="M124" s="1334"/>
      <c r="N124" s="502"/>
      <c r="O124" s="20"/>
      <c r="P124" s="2981" t="s">
        <v>570</v>
      </c>
      <c r="Q124" s="1657" t="s">
        <v>789</v>
      </c>
      <c r="R124" s="2953"/>
      <c r="S124" s="2956"/>
      <c r="T124" s="1287"/>
      <c r="U124" s="938"/>
      <c r="V124" s="1051"/>
      <c r="W124" s="1151"/>
      <c r="X124" s="938"/>
      <c r="Y124" s="1184"/>
      <c r="Z124" s="1398"/>
      <c r="AA124" s="938"/>
      <c r="AB124" s="1051"/>
      <c r="AC124" s="1287"/>
      <c r="AD124" s="938"/>
      <c r="AE124" s="1184"/>
      <c r="AG124" s="938"/>
      <c r="AH124" s="2979"/>
      <c r="AI124" s="1711"/>
      <c r="AJ124" s="1711"/>
      <c r="AM124" s="10"/>
      <c r="AN124" s="10"/>
      <c r="AO124" s="10"/>
      <c r="AU124" s="10"/>
    </row>
    <row r="125" spans="1:47" ht="30" customHeight="1" x14ac:dyDescent="0.3">
      <c r="A125" s="2923" t="s">
        <v>185</v>
      </c>
      <c r="B125" s="963" t="s">
        <v>760</v>
      </c>
      <c r="C125" s="957"/>
      <c r="D125" s="957"/>
      <c r="E125" s="957"/>
      <c r="F125" s="957"/>
      <c r="G125" s="958"/>
      <c r="H125" s="1398"/>
      <c r="I125" s="938"/>
      <c r="J125" s="1051"/>
      <c r="K125" s="1287"/>
      <c r="L125" s="938"/>
      <c r="M125" s="1334"/>
      <c r="N125" s="503" t="s">
        <v>569</v>
      </c>
      <c r="O125" s="2980" t="s">
        <v>790</v>
      </c>
      <c r="P125" s="2982"/>
      <c r="Q125" s="1182"/>
      <c r="R125" s="2953"/>
      <c r="S125" s="2956"/>
      <c r="T125" s="1287"/>
      <c r="U125" s="938"/>
      <c r="V125" s="1051"/>
      <c r="W125" s="1151"/>
      <c r="X125" s="938"/>
      <c r="Y125" s="1184"/>
      <c r="Z125" s="1398"/>
      <c r="AA125" s="938"/>
      <c r="AB125" s="1051"/>
      <c r="AC125" s="1287"/>
      <c r="AD125" s="938"/>
      <c r="AE125" s="1184"/>
      <c r="AG125" s="938"/>
      <c r="AH125" s="2979"/>
      <c r="AI125" s="1711"/>
      <c r="AJ125" s="1711"/>
      <c r="AK125" s="10"/>
      <c r="AL125" s="10"/>
      <c r="AM125" s="378"/>
      <c r="AN125" s="1711"/>
      <c r="AO125" s="10"/>
      <c r="AP125" s="10"/>
      <c r="AQ125" s="10"/>
      <c r="AR125" s="10"/>
      <c r="AU125" s="10"/>
    </row>
    <row r="126" spans="1:47" ht="30" customHeight="1" x14ac:dyDescent="0.25">
      <c r="A126" s="2924"/>
      <c r="B126" s="951" t="s">
        <v>155</v>
      </c>
      <c r="C126" s="952"/>
      <c r="D126" s="952"/>
      <c r="E126" s="952"/>
      <c r="F126" s="952"/>
      <c r="G126" s="953"/>
      <c r="H126" s="1399"/>
      <c r="I126" s="1053"/>
      <c r="J126" s="1052"/>
      <c r="K126" s="1558"/>
      <c r="L126" s="1053"/>
      <c r="M126" s="1335"/>
      <c r="N126" s="1075" t="s">
        <v>760</v>
      </c>
      <c r="O126" s="1711"/>
      <c r="P126" s="1289" t="s">
        <v>1000</v>
      </c>
      <c r="Q126" s="1182"/>
      <c r="R126" s="2954"/>
      <c r="S126" s="2957"/>
      <c r="T126" s="1558"/>
      <c r="U126" s="1053"/>
      <c r="V126" s="1052"/>
      <c r="W126" s="1152"/>
      <c r="X126" s="938"/>
      <c r="Y126" s="1279"/>
      <c r="Z126" s="1399"/>
      <c r="AA126" s="1053"/>
      <c r="AB126" s="1052"/>
      <c r="AC126" s="1558"/>
      <c r="AD126" s="1053"/>
      <c r="AE126" s="1279"/>
      <c r="AG126" s="938"/>
      <c r="AH126" s="2979"/>
      <c r="AI126" s="1711"/>
      <c r="AM126" s="938"/>
      <c r="AN126" s="1711"/>
      <c r="AO126" s="10"/>
      <c r="AU126" s="10"/>
    </row>
    <row r="127" spans="1:47" ht="30" customHeight="1" x14ac:dyDescent="0.3">
      <c r="A127" s="2923" t="s">
        <v>186</v>
      </c>
      <c r="B127" s="20"/>
      <c r="C127" s="20"/>
      <c r="D127" s="20"/>
      <c r="E127" s="20"/>
      <c r="F127" s="20"/>
      <c r="G127" s="20"/>
      <c r="H127" s="474"/>
      <c r="I127" s="423"/>
      <c r="J127" s="84"/>
      <c r="K127" s="20"/>
      <c r="L127" s="20"/>
      <c r="M127" s="493"/>
      <c r="N127" s="938"/>
      <c r="O127" s="1711"/>
      <c r="P127" s="1289"/>
      <c r="Q127" s="1182"/>
      <c r="R127" s="20"/>
      <c r="S127" s="20"/>
      <c r="T127" s="504"/>
      <c r="U127" s="20"/>
      <c r="V127" s="20"/>
      <c r="W127" s="423"/>
      <c r="X127" s="423"/>
      <c r="Y127" s="391"/>
      <c r="Z127" s="494"/>
      <c r="AA127" s="20"/>
      <c r="AB127" s="20"/>
      <c r="AC127" s="20"/>
      <c r="AD127" s="20"/>
      <c r="AE127" s="493"/>
      <c r="AF127" s="33"/>
      <c r="AG127" s="938"/>
      <c r="AH127" s="2979"/>
      <c r="AI127" s="1711"/>
      <c r="AM127" s="938"/>
      <c r="AN127" s="1711"/>
      <c r="AO127" s="10"/>
      <c r="AP127" s="10"/>
      <c r="AQ127" s="10"/>
      <c r="AR127" s="10"/>
      <c r="AU127" s="10"/>
    </row>
    <row r="128" spans="1:47" ht="30" customHeight="1" x14ac:dyDescent="0.25">
      <c r="A128" s="2924"/>
      <c r="B128" s="491"/>
      <c r="C128" s="20"/>
      <c r="D128" s="20"/>
      <c r="E128" s="20"/>
      <c r="F128" s="20"/>
      <c r="G128" s="20"/>
      <c r="H128" s="499"/>
      <c r="I128" s="375"/>
      <c r="J128" s="375"/>
      <c r="K128" s="20"/>
      <c r="L128" s="492"/>
      <c r="M128" s="200"/>
      <c r="N128" s="1053"/>
      <c r="O128" s="1712"/>
      <c r="P128" s="1289"/>
      <c r="Q128" s="1182"/>
      <c r="R128" s="20"/>
      <c r="S128" s="200"/>
      <c r="T128" s="491"/>
      <c r="U128" s="20"/>
      <c r="V128" s="20"/>
      <c r="W128" s="375"/>
      <c r="X128" s="375"/>
      <c r="Y128" s="376"/>
      <c r="Z128" s="494"/>
      <c r="AA128" s="20"/>
      <c r="AB128" s="20"/>
      <c r="AC128" s="20"/>
      <c r="AD128" s="20"/>
      <c r="AE128" s="470"/>
      <c r="AF128" s="33"/>
      <c r="AG128" s="938"/>
      <c r="AH128" s="2979"/>
      <c r="AI128" s="1711"/>
      <c r="AM128" s="938"/>
      <c r="AN128" s="1711"/>
      <c r="AO128" s="10"/>
      <c r="AU128" s="10"/>
    </row>
    <row r="129" spans="1:49" ht="30" customHeight="1" x14ac:dyDescent="0.3">
      <c r="A129" s="2923" t="s">
        <v>187</v>
      </c>
      <c r="B129" s="20"/>
      <c r="C129" s="505"/>
      <c r="D129" s="505"/>
      <c r="E129" s="423"/>
      <c r="F129" s="423"/>
      <c r="G129" s="391"/>
      <c r="H129" s="474"/>
      <c r="I129" s="423"/>
      <c r="J129" s="423"/>
      <c r="K129" s="505"/>
      <c r="L129" s="20"/>
      <c r="M129" s="493"/>
      <c r="N129" s="20"/>
      <c r="O129" s="20"/>
      <c r="P129" s="1290"/>
      <c r="Q129" s="1425"/>
      <c r="R129" s="20"/>
      <c r="S129" s="200"/>
      <c r="T129" s="20"/>
      <c r="U129" s="505"/>
      <c r="V129" s="505"/>
      <c r="W129" s="423"/>
      <c r="X129" s="423"/>
      <c r="Y129" s="391"/>
      <c r="Z129" s="1062"/>
      <c r="AA129" s="1020"/>
      <c r="AB129" s="1020"/>
      <c r="AC129" s="1020"/>
      <c r="AD129" s="1020"/>
      <c r="AE129" s="1063"/>
      <c r="AG129" s="938"/>
      <c r="AH129" s="2979"/>
      <c r="AI129" s="1711"/>
      <c r="AN129" s="10"/>
      <c r="AO129" s="10"/>
      <c r="AP129" s="10"/>
      <c r="AQ129" s="10"/>
      <c r="AR129" s="10"/>
      <c r="AU129" s="10"/>
    </row>
    <row r="130" spans="1:49" ht="30" customHeight="1" x14ac:dyDescent="0.25">
      <c r="A130" s="2924"/>
      <c r="B130" s="101"/>
      <c r="C130" s="102"/>
      <c r="E130" s="395"/>
      <c r="F130" s="395"/>
      <c r="G130" s="396"/>
      <c r="H130" s="446"/>
      <c r="I130" s="395"/>
      <c r="J130" s="395"/>
      <c r="M130" s="32"/>
      <c r="N130" s="102"/>
      <c r="O130" s="102"/>
      <c r="P130" s="327"/>
      <c r="S130" s="103"/>
      <c r="W130" s="395"/>
      <c r="X130" s="395"/>
      <c r="Y130" s="396"/>
      <c r="Z130" s="1297"/>
      <c r="AA130" s="1298"/>
      <c r="AB130" s="1298"/>
      <c r="AC130" s="1298"/>
      <c r="AD130" s="1298"/>
      <c r="AE130" s="1299"/>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21" t="s">
        <v>214</v>
      </c>
      <c r="B137" s="2922"/>
      <c r="C137" s="2271" t="s">
        <v>215</v>
      </c>
      <c r="D137" s="2272"/>
      <c r="E137" s="2272"/>
      <c r="F137" s="2272"/>
      <c r="G137" s="2272"/>
      <c r="H137" s="2272"/>
      <c r="I137" s="2272"/>
      <c r="J137" s="2272"/>
      <c r="K137" s="2272"/>
      <c r="L137" s="166"/>
      <c r="M137" s="2273" t="s">
        <v>618</v>
      </c>
      <c r="N137" s="2268"/>
      <c r="O137" s="2271" t="s">
        <v>139</v>
      </c>
      <c r="P137" s="2274"/>
      <c r="Q137" s="2271" t="s">
        <v>163</v>
      </c>
      <c r="R137" s="2272"/>
      <c r="S137" s="2272"/>
      <c r="T137" s="2272"/>
      <c r="U137" s="2272"/>
      <c r="V137" s="2272"/>
      <c r="W137" s="2272"/>
      <c r="X137" s="2272"/>
      <c r="Y137" s="2272"/>
      <c r="Z137" s="2272"/>
      <c r="AA137" s="2272"/>
      <c r="AB137" s="2272"/>
      <c r="AC137" s="2272"/>
      <c r="AD137" s="2272"/>
      <c r="AE137" s="2274"/>
    </row>
    <row r="138" spans="1:49" ht="13.8" x14ac:dyDescent="0.25">
      <c r="A138" s="2251" t="s">
        <v>758</v>
      </c>
      <c r="B138" s="2252"/>
      <c r="C138" s="2006" t="str">
        <f>ASIGNATURAS!I324</f>
        <v>Genética Molecular</v>
      </c>
      <c r="D138" s="1177"/>
      <c r="E138" s="1177"/>
      <c r="F138" s="1177"/>
      <c r="G138" s="1177"/>
      <c r="H138" s="1177"/>
      <c r="I138" s="1177"/>
      <c r="J138" s="1177"/>
      <c r="K138" s="1177"/>
      <c r="L138" s="981"/>
      <c r="M138" s="2145">
        <v>8223</v>
      </c>
      <c r="N138" s="936"/>
      <c r="O138" s="2145">
        <v>6</v>
      </c>
      <c r="P138" s="936"/>
      <c r="Q138" s="2006" t="str">
        <f>ASIGNATURAS!K324</f>
        <v>Sonia Ramos Gómez, Alfredo Marcos Reguero</v>
      </c>
      <c r="R138" s="1177"/>
      <c r="S138" s="1177"/>
      <c r="T138" s="1177"/>
      <c r="U138" s="1177"/>
      <c r="V138" s="1177"/>
      <c r="W138" s="1177"/>
      <c r="X138" s="1177"/>
      <c r="Y138" s="1177"/>
      <c r="Z138" s="1177"/>
      <c r="AA138" s="1177"/>
      <c r="AB138" s="1177"/>
      <c r="AC138" s="1177"/>
      <c r="AD138" s="1177"/>
      <c r="AE138" s="981"/>
    </row>
    <row r="139" spans="1:49" ht="13.8" x14ac:dyDescent="0.25">
      <c r="A139" s="2251" t="s">
        <v>760</v>
      </c>
      <c r="B139" s="2252"/>
      <c r="C139" s="2006" t="str">
        <f>ASIGNATURAS!I325</f>
        <v>Estructura y Función del Cuerpo Humano II</v>
      </c>
      <c r="D139" s="1177"/>
      <c r="E139" s="1177"/>
      <c r="F139" s="1177"/>
      <c r="G139" s="1177"/>
      <c r="H139" s="1177"/>
      <c r="I139" s="1177"/>
      <c r="J139" s="1177"/>
      <c r="K139" s="1177"/>
      <c r="L139" s="981"/>
      <c r="M139" s="2145">
        <v>8224</v>
      </c>
      <c r="N139" s="936"/>
      <c r="O139" s="2145">
        <v>6</v>
      </c>
      <c r="P139" s="936"/>
      <c r="Q139" s="2006" t="str">
        <f>ASIGNATURAS!K325</f>
        <v>Jonatan Rojo, Miriam Saíz, Juan Valencia</v>
      </c>
      <c r="R139" s="1177"/>
      <c r="S139" s="1177"/>
      <c r="T139" s="1177"/>
      <c r="U139" s="1177"/>
      <c r="V139" s="1177"/>
      <c r="W139" s="1177"/>
      <c r="X139" s="1177"/>
      <c r="Y139" s="1177"/>
      <c r="Z139" s="1177"/>
      <c r="AA139" s="1177"/>
      <c r="AB139" s="1177"/>
      <c r="AC139" s="1177"/>
      <c r="AD139" s="1177"/>
      <c r="AE139" s="981"/>
    </row>
    <row r="140" spans="1:49" ht="14.25" customHeight="1" x14ac:dyDescent="0.25">
      <c r="A140" s="2251" t="s">
        <v>762</v>
      </c>
      <c r="B140" s="2252"/>
      <c r="C140" s="2006" t="str">
        <f>ASIGNATURAS!I326</f>
        <v>Bioestadística</v>
      </c>
      <c r="D140" s="1177"/>
      <c r="E140" s="1177"/>
      <c r="F140" s="1177"/>
      <c r="G140" s="1177"/>
      <c r="H140" s="1177"/>
      <c r="I140" s="1177"/>
      <c r="J140" s="1177"/>
      <c r="K140" s="1177"/>
      <c r="L140" s="981"/>
      <c r="M140" s="2145">
        <v>8225</v>
      </c>
      <c r="N140" s="936"/>
      <c r="O140" s="2145">
        <v>6</v>
      </c>
      <c r="P140" s="936"/>
      <c r="Q140" s="2006" t="str">
        <f>ASIGNATURAS!K326</f>
        <v>Olga Valencia García</v>
      </c>
      <c r="R140" s="1177"/>
      <c r="S140" s="1177"/>
      <c r="T140" s="1177"/>
      <c r="U140" s="1177"/>
      <c r="V140" s="1177"/>
      <c r="W140" s="1177"/>
      <c r="X140" s="1177"/>
      <c r="Y140" s="1177"/>
      <c r="Z140" s="1177"/>
      <c r="AA140" s="1177"/>
      <c r="AB140" s="1177"/>
      <c r="AC140" s="1177"/>
      <c r="AD140" s="1177"/>
      <c r="AE140" s="981"/>
    </row>
    <row r="141" spans="1:49" ht="14.25" customHeight="1" x14ac:dyDescent="0.25">
      <c r="A141" s="2251" t="s">
        <v>764</v>
      </c>
      <c r="B141" s="2252"/>
      <c r="C141" s="2006" t="str">
        <f>ASIGNATURAS!I327</f>
        <v>Bases de datos</v>
      </c>
      <c r="D141" s="1177"/>
      <c r="E141" s="1177"/>
      <c r="F141" s="1177"/>
      <c r="G141" s="1177"/>
      <c r="H141" s="1177"/>
      <c r="I141" s="1177"/>
      <c r="J141" s="1177"/>
      <c r="K141" s="1177"/>
      <c r="L141" s="981"/>
      <c r="M141" s="2145">
        <v>8226</v>
      </c>
      <c r="N141" s="936"/>
      <c r="O141" s="936">
        <v>6</v>
      </c>
      <c r="P141" s="1205"/>
      <c r="Q141" s="2006" t="str">
        <f>ASIGNATURAS!K327</f>
        <v>Jesús Manuel Maudes, Antonio Jesús Canepa</v>
      </c>
      <c r="R141" s="1177"/>
      <c r="S141" s="1177"/>
      <c r="T141" s="1177"/>
      <c r="U141" s="1177"/>
      <c r="V141" s="1177"/>
      <c r="W141" s="1177"/>
      <c r="X141" s="1177"/>
      <c r="Y141" s="1177"/>
      <c r="Z141" s="1177"/>
      <c r="AA141" s="1177"/>
      <c r="AB141" s="1177"/>
      <c r="AC141" s="1177"/>
      <c r="AD141" s="1177"/>
      <c r="AE141" s="981"/>
      <c r="AW141" s="450"/>
    </row>
    <row r="142" spans="1:49" ht="13.8" x14ac:dyDescent="0.25">
      <c r="A142" s="2251" t="s">
        <v>772</v>
      </c>
      <c r="B142" s="2252"/>
      <c r="C142" s="2006" t="str">
        <f>ASIGNATURAS!I328</f>
        <v>Metodología de la Programación</v>
      </c>
      <c r="D142" s="1177"/>
      <c r="E142" s="1177"/>
      <c r="F142" s="1177"/>
      <c r="G142" s="1177"/>
      <c r="H142" s="1177"/>
      <c r="I142" s="1177"/>
      <c r="J142" s="1177"/>
      <c r="K142" s="1177"/>
      <c r="L142" s="981"/>
      <c r="M142" s="2145">
        <v>8227</v>
      </c>
      <c r="N142" s="936"/>
      <c r="O142" s="936">
        <v>6</v>
      </c>
      <c r="P142" s="1205"/>
      <c r="Q142" s="2006" t="str">
        <f>ASIGNATURAS!K328</f>
        <v>Daniel Urda Muñoz</v>
      </c>
      <c r="R142" s="1177"/>
      <c r="S142" s="1177"/>
      <c r="T142" s="1177"/>
      <c r="U142" s="1177"/>
      <c r="V142" s="1177"/>
      <c r="W142" s="1177"/>
      <c r="X142" s="1177"/>
      <c r="Y142" s="1177"/>
      <c r="Z142" s="1177"/>
      <c r="AA142" s="1177"/>
      <c r="AB142" s="1177"/>
      <c r="AC142" s="1177"/>
      <c r="AD142" s="1177"/>
      <c r="AE142" s="981"/>
    </row>
    <row r="145" spans="1:31" ht="15" x14ac:dyDescent="0.25">
      <c r="A145" s="2972" t="s">
        <v>165</v>
      </c>
      <c r="B145" s="2973"/>
      <c r="C145" s="2973"/>
      <c r="D145" s="2973"/>
      <c r="E145" s="2974"/>
    </row>
    <row r="146" spans="1:31" ht="15" x14ac:dyDescent="0.25">
      <c r="A146" s="2928" t="s">
        <v>720</v>
      </c>
      <c r="B146" s="2975"/>
      <c r="C146" s="2975"/>
      <c r="D146" s="2975"/>
      <c r="E146" s="2976"/>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6" t="s">
        <v>684</v>
      </c>
      <c r="B149" s="2297"/>
      <c r="C149" s="2297"/>
      <c r="D149" s="2297"/>
      <c r="E149" s="2297"/>
      <c r="F149" s="2297"/>
      <c r="G149" s="2297"/>
      <c r="H149" s="2297"/>
      <c r="I149" s="2297"/>
      <c r="J149" s="2297"/>
      <c r="K149" s="2297"/>
      <c r="L149" s="2297"/>
      <c r="M149" s="2297"/>
      <c r="N149" s="2297"/>
      <c r="O149" s="2297"/>
      <c r="P149" s="2297"/>
      <c r="Q149" s="2297"/>
      <c r="R149" s="2297"/>
      <c r="S149" s="2297"/>
      <c r="T149" s="2297"/>
      <c r="U149" s="2297"/>
      <c r="V149" s="2297"/>
      <c r="W149" s="2297"/>
      <c r="X149" s="2297"/>
      <c r="Y149" s="2298"/>
      <c r="Z149" s="2254" t="str">
        <f>Z1</f>
        <v>Curso 2024-2025</v>
      </c>
      <c r="AA149" s="2254"/>
      <c r="AB149" s="2254"/>
      <c r="AC149" s="2254"/>
      <c r="AD149" s="2254"/>
      <c r="AE149" s="2255"/>
    </row>
    <row r="150" spans="1:31" s="8" customFormat="1" ht="23.25" customHeight="1" x14ac:dyDescent="0.4">
      <c r="A150" s="2291" t="s">
        <v>771</v>
      </c>
      <c r="B150" s="2292"/>
      <c r="C150" s="2292"/>
      <c r="D150" s="2292"/>
      <c r="E150" s="2292"/>
      <c r="F150" s="2292"/>
      <c r="G150" s="2292"/>
      <c r="H150" s="2292"/>
      <c r="I150" s="2292"/>
      <c r="J150" s="2292"/>
      <c r="K150" s="2292"/>
      <c r="L150" s="2292"/>
      <c r="M150" s="2292"/>
      <c r="N150" s="2292"/>
      <c r="O150" s="2292"/>
      <c r="P150" s="2292"/>
      <c r="Q150" s="2292"/>
      <c r="R150" s="2292"/>
      <c r="S150" s="2292"/>
      <c r="T150" s="2292"/>
      <c r="U150" s="2292"/>
      <c r="V150" s="2292"/>
      <c r="W150" s="2292"/>
      <c r="X150" s="2292"/>
      <c r="Y150" s="2293"/>
      <c r="Z150" s="2912" t="s">
        <v>553</v>
      </c>
      <c r="AA150" s="2912"/>
      <c r="AB150" s="2912"/>
      <c r="AC150" s="2912"/>
      <c r="AD150" s="2912"/>
      <c r="AE150" s="2958"/>
    </row>
    <row r="151" spans="1:31" s="8" customFormat="1" ht="23.25" customHeight="1" x14ac:dyDescent="0.4">
      <c r="A151" s="2264" t="s">
        <v>177</v>
      </c>
      <c r="B151" s="2265"/>
      <c r="C151" s="2265"/>
      <c r="D151" s="2265"/>
      <c r="E151" s="2265"/>
      <c r="F151" s="2265"/>
      <c r="G151" s="2265"/>
      <c r="H151" s="2265"/>
      <c r="I151" s="2265"/>
      <c r="J151" s="2265"/>
      <c r="K151" s="2265"/>
      <c r="L151" s="2265"/>
      <c r="M151" s="2265"/>
      <c r="N151" s="2265"/>
      <c r="O151" s="2265"/>
      <c r="P151" s="2265"/>
      <c r="Q151" s="2265"/>
      <c r="R151" s="2265"/>
      <c r="S151" s="2265"/>
      <c r="T151" s="2265"/>
      <c r="U151" s="2265"/>
      <c r="V151" s="2265"/>
      <c r="W151" s="2265"/>
      <c r="X151" s="2265"/>
      <c r="Y151" s="2266"/>
      <c r="Z151" s="2959"/>
      <c r="AA151" s="2959"/>
      <c r="AB151" s="2959"/>
      <c r="AC151" s="2959"/>
      <c r="AD151" s="2959"/>
      <c r="AE151" s="2960"/>
    </row>
    <row r="152" spans="1:31" ht="26.25" customHeight="1" thickBot="1" x14ac:dyDescent="0.3">
      <c r="A152" s="9" t="s">
        <v>701</v>
      </c>
      <c r="AE152" s="367"/>
    </row>
    <row r="153" spans="1:31" ht="1.5" customHeight="1" thickBot="1" x14ac:dyDescent="0.3">
      <c r="A153" s="165" t="s">
        <v>1</v>
      </c>
      <c r="B153" s="2284" t="s">
        <v>2</v>
      </c>
      <c r="C153" s="2284"/>
      <c r="D153" s="2284"/>
      <c r="E153" s="2284"/>
      <c r="F153" s="2284"/>
      <c r="G153" s="2285"/>
      <c r="H153" s="2284" t="s">
        <v>3</v>
      </c>
      <c r="I153" s="2284"/>
      <c r="J153" s="2284"/>
      <c r="K153" s="2284"/>
      <c r="L153" s="2284"/>
      <c r="M153" s="2285"/>
      <c r="N153" s="2286" t="s">
        <v>135</v>
      </c>
      <c r="O153" s="2287"/>
      <c r="P153" s="2287"/>
      <c r="Q153" s="2287"/>
      <c r="R153" s="2287"/>
      <c r="S153" s="2288"/>
      <c r="T153" s="2284" t="s">
        <v>4</v>
      </c>
      <c r="U153" s="2284"/>
      <c r="V153" s="2284"/>
      <c r="W153" s="2284"/>
      <c r="X153" s="2284"/>
      <c r="Y153" s="2285"/>
      <c r="Z153" s="2286" t="s">
        <v>5</v>
      </c>
      <c r="AA153" s="2287"/>
      <c r="AB153" s="2287"/>
      <c r="AC153" s="2287"/>
      <c r="AD153" s="2287"/>
      <c r="AE153" s="2288"/>
    </row>
    <row r="154" spans="1:31" ht="16.2" hidden="1" thickBot="1" x14ac:dyDescent="0.35">
      <c r="A154" s="2923" t="s">
        <v>10</v>
      </c>
      <c r="B154" s="931"/>
      <c r="C154" s="932"/>
      <c r="D154" s="932"/>
      <c r="E154" s="932"/>
      <c r="F154" s="932"/>
      <c r="G154" s="933"/>
      <c r="H154" s="2966"/>
      <c r="I154" s="2967"/>
      <c r="J154" s="2967"/>
      <c r="K154" s="2967"/>
      <c r="L154" s="2967"/>
      <c r="M154" s="2968"/>
      <c r="N154" s="2966"/>
      <c r="O154" s="2967"/>
      <c r="P154" s="2967"/>
      <c r="Q154" s="2967"/>
      <c r="R154" s="2967"/>
      <c r="S154" s="2968"/>
      <c r="T154" s="349"/>
      <c r="U154" s="350"/>
      <c r="V154" s="350"/>
      <c r="W154" s="350"/>
      <c r="X154" s="350"/>
      <c r="Y154" s="351"/>
      <c r="Z154" s="278"/>
      <c r="AA154" s="10"/>
      <c r="AB154" s="374"/>
      <c r="AC154" s="360"/>
      <c r="AD154" s="360"/>
      <c r="AE154" s="361"/>
    </row>
    <row r="155" spans="1:31" ht="12.75" hidden="1" customHeight="1" thickBot="1" x14ac:dyDescent="0.3">
      <c r="A155" s="2924"/>
      <c r="B155" s="1297"/>
      <c r="C155" s="1298"/>
      <c r="D155" s="1298"/>
      <c r="E155" s="1298"/>
      <c r="F155" s="1298"/>
      <c r="G155" s="1299"/>
      <c r="H155" s="1297"/>
      <c r="I155" s="1298"/>
      <c r="J155" s="1298"/>
      <c r="K155" s="1298"/>
      <c r="L155" s="1298"/>
      <c r="M155" s="1299"/>
      <c r="N155" s="1297"/>
      <c r="O155" s="1298"/>
      <c r="P155" s="1298"/>
      <c r="Q155" s="1298"/>
      <c r="R155" s="1298"/>
      <c r="S155" s="1299"/>
      <c r="T155" s="362"/>
      <c r="U155" s="348"/>
      <c r="V155" s="348"/>
      <c r="W155" s="365"/>
      <c r="X155" s="365"/>
      <c r="Y155" s="371"/>
      <c r="Z155" s="278"/>
      <c r="AA155" s="10"/>
      <c r="AB155" s="348"/>
      <c r="AC155" s="365"/>
      <c r="AD155" s="348"/>
      <c r="AE155" s="371"/>
    </row>
    <row r="156" spans="1:31" ht="16.2" hidden="1" thickBot="1" x14ac:dyDescent="0.35">
      <c r="A156" s="2923"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4"/>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3" t="s">
        <v>6</v>
      </c>
      <c r="B158" s="931"/>
      <c r="C158" s="932"/>
      <c r="D158" s="932"/>
      <c r="E158" s="932"/>
      <c r="F158" s="932"/>
      <c r="G158" s="933"/>
      <c r="H158" s="931"/>
      <c r="I158" s="932"/>
      <c r="J158" s="932"/>
      <c r="K158" s="932"/>
      <c r="L158" s="932"/>
      <c r="M158" s="933"/>
      <c r="N158" s="931"/>
      <c r="O158" s="932"/>
      <c r="P158" s="932"/>
      <c r="Q158" s="932"/>
      <c r="R158" s="932"/>
      <c r="S158" s="933"/>
      <c r="T158" s="356"/>
      <c r="U158" s="357"/>
      <c r="V158" s="360"/>
      <c r="W158" s="357"/>
      <c r="X158" s="357"/>
      <c r="Y158" s="361"/>
      <c r="Z158" s="368"/>
      <c r="AA158" s="282"/>
      <c r="AB158" s="373"/>
      <c r="AC158" s="360"/>
      <c r="AD158" s="357"/>
      <c r="AE158" s="361"/>
    </row>
    <row r="159" spans="1:31" ht="12.75" hidden="1" customHeight="1" thickBot="1" x14ac:dyDescent="0.3">
      <c r="A159" s="2924"/>
      <c r="B159" s="1297"/>
      <c r="C159" s="1298"/>
      <c r="D159" s="1298"/>
      <c r="E159" s="1298"/>
      <c r="F159" s="1298"/>
      <c r="G159" s="1299"/>
      <c r="H159" s="1297"/>
      <c r="I159" s="1298"/>
      <c r="J159" s="1298"/>
      <c r="K159" s="1298"/>
      <c r="L159" s="1298"/>
      <c r="M159" s="1299"/>
      <c r="N159" s="2969"/>
      <c r="O159" s="2970"/>
      <c r="P159" s="2970"/>
      <c r="Q159" s="2970"/>
      <c r="R159" s="2970"/>
      <c r="S159" s="2971"/>
      <c r="T159" s="362"/>
      <c r="U159" s="365"/>
      <c r="V159" s="365"/>
      <c r="W159" s="348"/>
      <c r="X159" s="365"/>
      <c r="Y159" s="363"/>
      <c r="Z159" s="278"/>
      <c r="AA159" s="283"/>
      <c r="AB159" s="348"/>
      <c r="AC159" s="348"/>
      <c r="AD159" s="348"/>
      <c r="AE159" s="371"/>
    </row>
    <row r="160" spans="1:31" ht="15.75" hidden="1" customHeight="1" thickBot="1" x14ac:dyDescent="0.35">
      <c r="A160" s="2923" t="s">
        <v>7</v>
      </c>
      <c r="B160" s="931"/>
      <c r="C160" s="932"/>
      <c r="D160" s="932"/>
      <c r="E160" s="932"/>
      <c r="F160" s="932"/>
      <c r="G160" s="933"/>
      <c r="H160" s="931"/>
      <c r="I160" s="932"/>
      <c r="J160" s="932"/>
      <c r="K160" s="932"/>
      <c r="L160" s="932"/>
      <c r="M160" s="933"/>
      <c r="N160" s="931"/>
      <c r="O160" s="932"/>
      <c r="P160" s="932"/>
      <c r="Q160" s="932"/>
      <c r="R160" s="932"/>
      <c r="S160" s="933"/>
      <c r="T160" s="359"/>
      <c r="U160" s="357"/>
      <c r="V160" s="357"/>
      <c r="W160" s="360"/>
      <c r="X160" s="357"/>
      <c r="Y160" s="361"/>
      <c r="Z160" s="368"/>
      <c r="AA160" s="10"/>
      <c r="AB160" s="373"/>
      <c r="AC160" s="360"/>
      <c r="AD160" s="360"/>
      <c r="AE160" s="358"/>
    </row>
    <row r="161" spans="1:32" ht="12.75" hidden="1" customHeight="1" thickBot="1" x14ac:dyDescent="0.3">
      <c r="A161" s="2924"/>
      <c r="B161" s="1297"/>
      <c r="C161" s="1298"/>
      <c r="D161" s="1298"/>
      <c r="E161" s="1298"/>
      <c r="F161" s="1298"/>
      <c r="G161" s="1299"/>
      <c r="H161" s="1297"/>
      <c r="I161" s="1298"/>
      <c r="J161" s="1298"/>
      <c r="K161" s="1298"/>
      <c r="L161" s="1298"/>
      <c r="M161" s="1299"/>
      <c r="N161" s="1297"/>
      <c r="O161" s="1298"/>
      <c r="P161" s="1298"/>
      <c r="Q161" s="1298"/>
      <c r="R161" s="1298"/>
      <c r="S161" s="1299"/>
      <c r="T161" s="362"/>
      <c r="U161" s="348"/>
      <c r="V161" s="348"/>
      <c r="W161" s="348"/>
      <c r="X161" s="348"/>
      <c r="Y161" s="371"/>
      <c r="Z161" s="278"/>
      <c r="AA161" s="10"/>
      <c r="AB161" s="348"/>
      <c r="AC161" s="365"/>
      <c r="AD161" s="365"/>
      <c r="AE161" s="363"/>
    </row>
    <row r="162" spans="1:32" ht="15.75" hidden="1" customHeight="1" thickBot="1" x14ac:dyDescent="0.35">
      <c r="A162" s="2923" t="s">
        <v>8</v>
      </c>
      <c r="B162" s="931"/>
      <c r="C162" s="932"/>
      <c r="D162" s="932"/>
      <c r="E162" s="932"/>
      <c r="F162" s="932"/>
      <c r="G162" s="933"/>
      <c r="H162" s="931"/>
      <c r="I162" s="932"/>
      <c r="J162" s="932"/>
      <c r="K162" s="932"/>
      <c r="L162" s="932"/>
      <c r="M162" s="933"/>
      <c r="N162" s="2961"/>
      <c r="O162" s="2320"/>
      <c r="P162" s="2320"/>
      <c r="Q162" s="2320"/>
      <c r="R162" s="2320"/>
      <c r="S162" s="2962"/>
      <c r="T162" s="359"/>
      <c r="U162" s="360"/>
      <c r="V162" s="360"/>
      <c r="W162" s="360"/>
      <c r="X162" s="360"/>
      <c r="Y162" s="358"/>
      <c r="Z162" s="368"/>
      <c r="AA162" s="282"/>
      <c r="AB162" s="373"/>
      <c r="AC162" s="357"/>
      <c r="AD162" s="357"/>
      <c r="AE162" s="361"/>
    </row>
    <row r="163" spans="1:32" ht="9" hidden="1" customHeight="1" thickBot="1" x14ac:dyDescent="0.3">
      <c r="A163" s="2924"/>
      <c r="B163" s="1297"/>
      <c r="C163" s="1298"/>
      <c r="D163" s="1298"/>
      <c r="E163" s="1298"/>
      <c r="F163" s="1298"/>
      <c r="G163" s="1299"/>
      <c r="H163" s="1297"/>
      <c r="I163" s="1298"/>
      <c r="J163" s="1298"/>
      <c r="K163" s="1298"/>
      <c r="L163" s="1298"/>
      <c r="M163" s="1299"/>
      <c r="N163" s="1297"/>
      <c r="O163" s="1298"/>
      <c r="P163" s="1298"/>
      <c r="Q163" s="1298"/>
      <c r="R163" s="1298"/>
      <c r="S163" s="1299"/>
      <c r="T163" s="364"/>
      <c r="U163" s="365"/>
      <c r="V163" s="348"/>
      <c r="W163" s="365"/>
      <c r="X163" s="348"/>
      <c r="Y163" s="371"/>
      <c r="Z163" s="278"/>
      <c r="AA163" s="10"/>
      <c r="AB163" s="348"/>
      <c r="AC163" s="348"/>
      <c r="AD163" s="348"/>
      <c r="AE163" s="371"/>
    </row>
    <row r="164" spans="1:32" ht="15.75" hidden="1" customHeight="1" thickBot="1" x14ac:dyDescent="0.35">
      <c r="A164" s="2923" t="s">
        <v>9</v>
      </c>
      <c r="B164" s="931"/>
      <c r="C164" s="932"/>
      <c r="D164" s="932"/>
      <c r="E164" s="932"/>
      <c r="F164" s="932"/>
      <c r="G164" s="933"/>
      <c r="H164" s="931"/>
      <c r="I164" s="932"/>
      <c r="J164" s="932"/>
      <c r="K164" s="932"/>
      <c r="L164" s="932"/>
      <c r="M164" s="933"/>
      <c r="N164" s="2961"/>
      <c r="O164" s="2320"/>
      <c r="P164" s="2320"/>
      <c r="Q164" s="2320"/>
      <c r="R164" s="2320"/>
      <c r="S164" s="2962"/>
      <c r="T164" s="356"/>
      <c r="U164" s="357"/>
      <c r="V164" s="360"/>
      <c r="W164" s="357"/>
      <c r="X164" s="360"/>
      <c r="Y164" s="358"/>
      <c r="Z164" s="368"/>
      <c r="AA164" s="282"/>
      <c r="AB164" s="373"/>
      <c r="AC164" s="360"/>
      <c r="AD164" s="360"/>
      <c r="AE164" s="358"/>
    </row>
    <row r="165" spans="1:32" ht="10.5" hidden="1" customHeight="1" thickBot="1" x14ac:dyDescent="0.3">
      <c r="A165" s="2924"/>
      <c r="B165" s="1297"/>
      <c r="C165" s="1298"/>
      <c r="D165" s="1298"/>
      <c r="E165" s="1298"/>
      <c r="F165" s="1298"/>
      <c r="G165" s="1299"/>
      <c r="H165" s="1297"/>
      <c r="I165" s="1298"/>
      <c r="J165" s="1298"/>
      <c r="K165" s="1298"/>
      <c r="L165" s="1298"/>
      <c r="M165" s="1299"/>
      <c r="N165" s="1297"/>
      <c r="O165" s="1298"/>
      <c r="P165" s="1298"/>
      <c r="Q165" s="1298"/>
      <c r="R165" s="1298"/>
      <c r="S165" s="1299"/>
      <c r="T165" s="362"/>
      <c r="U165" s="348"/>
      <c r="V165" s="348"/>
      <c r="W165" s="348"/>
      <c r="X165" s="348"/>
      <c r="Y165" s="363"/>
      <c r="Z165" s="278"/>
      <c r="AA165" s="10"/>
      <c r="AB165" s="348"/>
      <c r="AC165" s="348"/>
      <c r="AD165" s="348"/>
      <c r="AE165" s="363"/>
    </row>
    <row r="166" spans="1:32" ht="15.75" customHeight="1" thickBot="1" x14ac:dyDescent="0.3">
      <c r="A166" s="19" t="s">
        <v>1</v>
      </c>
      <c r="B166" s="1064" t="s">
        <v>2</v>
      </c>
      <c r="C166" s="1065"/>
      <c r="D166" s="1065"/>
      <c r="E166" s="1065"/>
      <c r="F166" s="1065"/>
      <c r="G166" s="1066"/>
      <c r="H166" s="975" t="s">
        <v>3</v>
      </c>
      <c r="I166" s="976"/>
      <c r="J166" s="976"/>
      <c r="K166" s="976"/>
      <c r="L166" s="976"/>
      <c r="M166" s="977"/>
      <c r="N166" s="975" t="s">
        <v>135</v>
      </c>
      <c r="O166" s="976"/>
      <c r="P166" s="976"/>
      <c r="Q166" s="976"/>
      <c r="R166" s="976"/>
      <c r="S166" s="977"/>
      <c r="T166" s="1064" t="s">
        <v>4</v>
      </c>
      <c r="U166" s="1065"/>
      <c r="V166" s="1065"/>
      <c r="W166" s="1065"/>
      <c r="X166" s="1065"/>
      <c r="Y166" s="1066"/>
      <c r="Z166" s="975" t="s">
        <v>5</v>
      </c>
      <c r="AA166" s="976"/>
      <c r="AB166" s="976"/>
      <c r="AC166" s="976"/>
      <c r="AD166" s="976"/>
      <c r="AE166" s="977"/>
    </row>
    <row r="167" spans="1:32" ht="30" customHeight="1" x14ac:dyDescent="0.3">
      <c r="A167" s="2978" t="s">
        <v>183</v>
      </c>
      <c r="B167" s="1002" t="s">
        <v>102</v>
      </c>
      <c r="C167" s="1003"/>
      <c r="D167" s="1003"/>
      <c r="E167" s="1003"/>
      <c r="F167" s="1003"/>
      <c r="G167" s="1004"/>
      <c r="H167" s="1002" t="s">
        <v>791</v>
      </c>
      <c r="I167" s="1003"/>
      <c r="J167" s="1003"/>
      <c r="K167" s="1003"/>
      <c r="L167" s="1003"/>
      <c r="M167" s="1004"/>
      <c r="N167" s="82"/>
      <c r="O167" s="83"/>
      <c r="P167" s="291"/>
      <c r="Q167" s="1286" t="s">
        <v>792</v>
      </c>
      <c r="R167" s="1223" t="s">
        <v>570</v>
      </c>
      <c r="S167" s="1832" t="s">
        <v>553</v>
      </c>
      <c r="T167" s="1002" t="s">
        <v>791</v>
      </c>
      <c r="U167" s="1003"/>
      <c r="V167" s="1003"/>
      <c r="W167" s="1003"/>
      <c r="X167" s="1003"/>
      <c r="Y167" s="1004"/>
      <c r="Z167" s="1002" t="s">
        <v>774</v>
      </c>
      <c r="AA167" s="1003"/>
      <c r="AB167" s="1003"/>
      <c r="AC167" s="1003"/>
      <c r="AD167" s="1003"/>
      <c r="AE167" s="1004"/>
    </row>
    <row r="168" spans="1:32" ht="30" customHeight="1" x14ac:dyDescent="0.25">
      <c r="A168" s="2914"/>
      <c r="B168" s="951" t="s">
        <v>553</v>
      </c>
      <c r="C168" s="952"/>
      <c r="D168" s="952"/>
      <c r="E168" s="952"/>
      <c r="F168" s="952"/>
      <c r="G168" s="953"/>
      <c r="H168" s="951" t="s">
        <v>553</v>
      </c>
      <c r="I168" s="952"/>
      <c r="J168" s="952"/>
      <c r="K168" s="952"/>
      <c r="L168" s="952"/>
      <c r="M168" s="953"/>
      <c r="N168" s="471"/>
      <c r="O168" s="69"/>
      <c r="P168" s="268"/>
      <c r="Q168" s="1287"/>
      <c r="R168" s="938"/>
      <c r="S168" s="1832"/>
      <c r="T168" s="951" t="s">
        <v>553</v>
      </c>
      <c r="U168" s="952"/>
      <c r="V168" s="952"/>
      <c r="W168" s="952"/>
      <c r="X168" s="952"/>
      <c r="Y168" s="953"/>
      <c r="Z168" s="951" t="s">
        <v>553</v>
      </c>
      <c r="AA168" s="952"/>
      <c r="AB168" s="952"/>
      <c r="AC168" s="952"/>
      <c r="AD168" s="952"/>
      <c r="AE168" s="953"/>
      <c r="AF168" s="33"/>
    </row>
    <row r="169" spans="1:32" ht="30" customHeight="1" x14ac:dyDescent="0.3">
      <c r="A169" s="2923" t="s">
        <v>182</v>
      </c>
      <c r="B169" s="994" t="s">
        <v>774</v>
      </c>
      <c r="C169" s="995"/>
      <c r="D169" s="995"/>
      <c r="E169" s="995"/>
      <c r="F169" s="995"/>
      <c r="G169" s="996"/>
      <c r="H169" s="963" t="s">
        <v>99</v>
      </c>
      <c r="I169" s="957"/>
      <c r="J169" s="957"/>
      <c r="K169" s="957"/>
      <c r="L169" s="957"/>
      <c r="M169" s="958"/>
      <c r="N169" s="250"/>
      <c r="O169" s="250"/>
      <c r="P169" s="250"/>
      <c r="Q169" s="1287"/>
      <c r="R169" s="938"/>
      <c r="S169" s="1832"/>
      <c r="T169" s="963" t="s">
        <v>102</v>
      </c>
      <c r="U169" s="957"/>
      <c r="V169" s="957"/>
      <c r="W169" s="957"/>
      <c r="X169" s="957"/>
      <c r="Y169" s="958"/>
      <c r="Z169" s="963" t="s">
        <v>99</v>
      </c>
      <c r="AA169" s="957"/>
      <c r="AB169" s="957"/>
      <c r="AC169" s="957"/>
      <c r="AD169" s="957"/>
      <c r="AE169" s="958"/>
    </row>
    <row r="170" spans="1:32" ht="30" customHeight="1" x14ac:dyDescent="0.25">
      <c r="A170" s="2924"/>
      <c r="B170" s="951" t="s">
        <v>553</v>
      </c>
      <c r="C170" s="952"/>
      <c r="D170" s="952"/>
      <c r="E170" s="952"/>
      <c r="F170" s="952"/>
      <c r="G170" s="953"/>
      <c r="H170" s="951" t="s">
        <v>553</v>
      </c>
      <c r="I170" s="952"/>
      <c r="J170" s="952"/>
      <c r="K170" s="952"/>
      <c r="L170" s="952"/>
      <c r="M170" s="953"/>
      <c r="N170" s="20"/>
      <c r="O170" s="20"/>
      <c r="P170" s="417"/>
      <c r="Q170" s="1287"/>
      <c r="R170" s="938"/>
      <c r="S170" s="1832"/>
      <c r="T170" s="951" t="s">
        <v>553</v>
      </c>
      <c r="U170" s="952"/>
      <c r="V170" s="952"/>
      <c r="W170" s="952"/>
      <c r="X170" s="952"/>
      <c r="Y170" s="953"/>
      <c r="Z170" s="951" t="s">
        <v>553</v>
      </c>
      <c r="AA170" s="952"/>
      <c r="AB170" s="952"/>
      <c r="AC170" s="952"/>
      <c r="AD170" s="952"/>
      <c r="AE170" s="953"/>
    </row>
    <row r="171" spans="1:32" ht="30" customHeight="1" x14ac:dyDescent="0.25">
      <c r="A171" s="2914" t="s">
        <v>184</v>
      </c>
      <c r="B171" s="1532" t="s">
        <v>102</v>
      </c>
      <c r="C171" s="1223" t="s">
        <v>569</v>
      </c>
      <c r="D171" s="1324" t="s">
        <v>934</v>
      </c>
      <c r="E171" s="1150" t="s">
        <v>774</v>
      </c>
      <c r="F171" s="1223" t="s">
        <v>570</v>
      </c>
      <c r="G171" s="1324" t="s">
        <v>667</v>
      </c>
      <c r="H171" s="1532" t="s">
        <v>99</v>
      </c>
      <c r="I171" s="1223" t="s">
        <v>569</v>
      </c>
      <c r="J171" s="1324" t="s">
        <v>735</v>
      </c>
      <c r="K171" s="1286" t="s">
        <v>791</v>
      </c>
      <c r="L171" s="1223" t="s">
        <v>570</v>
      </c>
      <c r="M171" s="1183" t="s">
        <v>733</v>
      </c>
      <c r="N171" s="1150" t="s">
        <v>792</v>
      </c>
      <c r="O171" s="1223" t="s">
        <v>569</v>
      </c>
      <c r="P171" s="1912" t="s">
        <v>553</v>
      </c>
      <c r="Q171" s="125"/>
      <c r="R171" s="125"/>
      <c r="S171" s="298"/>
      <c r="T171" s="1532" t="s">
        <v>791</v>
      </c>
      <c r="U171" s="1223" t="s">
        <v>569</v>
      </c>
      <c r="V171" s="1324" t="s">
        <v>733</v>
      </c>
      <c r="W171" s="1286" t="s">
        <v>102</v>
      </c>
      <c r="X171" s="1223" t="s">
        <v>570</v>
      </c>
      <c r="Y171" s="1324" t="s">
        <v>1080</v>
      </c>
      <c r="Z171" s="1532" t="s">
        <v>774</v>
      </c>
      <c r="AA171" s="1223" t="s">
        <v>569</v>
      </c>
      <c r="AB171" s="1324" t="s">
        <v>667</v>
      </c>
      <c r="AC171" s="1286" t="s">
        <v>99</v>
      </c>
      <c r="AD171" s="1223" t="s">
        <v>570</v>
      </c>
      <c r="AE171" s="1183" t="s">
        <v>735</v>
      </c>
      <c r="AF171" s="33"/>
    </row>
    <row r="172" spans="1:32" ht="30" customHeight="1" x14ac:dyDescent="0.25">
      <c r="A172" s="2914"/>
      <c r="B172" s="1398"/>
      <c r="C172" s="938"/>
      <c r="D172" s="1051"/>
      <c r="E172" s="1151"/>
      <c r="F172" s="938"/>
      <c r="G172" s="1051"/>
      <c r="H172" s="1398"/>
      <c r="I172" s="938"/>
      <c r="J172" s="1051"/>
      <c r="K172" s="1287"/>
      <c r="L172" s="938"/>
      <c r="M172" s="1184"/>
      <c r="N172" s="1151"/>
      <c r="O172" s="938"/>
      <c r="P172" s="1791"/>
      <c r="Q172" s="69"/>
      <c r="R172" s="69"/>
      <c r="S172" s="280"/>
      <c r="T172" s="1398"/>
      <c r="U172" s="938"/>
      <c r="V172" s="1051"/>
      <c r="W172" s="1287"/>
      <c r="X172" s="938"/>
      <c r="Y172" s="1051"/>
      <c r="Z172" s="1398"/>
      <c r="AA172" s="938"/>
      <c r="AB172" s="1051"/>
      <c r="AC172" s="1287"/>
      <c r="AD172" s="938"/>
      <c r="AE172" s="1184"/>
      <c r="AF172" s="33"/>
    </row>
    <row r="173" spans="1:32" ht="30" customHeight="1" x14ac:dyDescent="0.25">
      <c r="A173" s="2923" t="s">
        <v>185</v>
      </c>
      <c r="B173" s="1398"/>
      <c r="C173" s="938"/>
      <c r="D173" s="1051"/>
      <c r="E173" s="1151"/>
      <c r="F173" s="938"/>
      <c r="G173" s="1051"/>
      <c r="H173" s="1398"/>
      <c r="I173" s="938"/>
      <c r="J173" s="1051"/>
      <c r="K173" s="1287"/>
      <c r="L173" s="938"/>
      <c r="M173" s="1184"/>
      <c r="N173" s="1151"/>
      <c r="O173" s="938"/>
      <c r="P173" s="1791"/>
      <c r="Q173" s="20"/>
      <c r="R173" s="20"/>
      <c r="S173" s="20"/>
      <c r="T173" s="1398"/>
      <c r="U173" s="938"/>
      <c r="V173" s="1051"/>
      <c r="W173" s="1287"/>
      <c r="X173" s="938"/>
      <c r="Y173" s="1051"/>
      <c r="Z173" s="1398"/>
      <c r="AA173" s="938"/>
      <c r="AB173" s="1051"/>
      <c r="AC173" s="1287"/>
      <c r="AD173" s="938"/>
      <c r="AE173" s="1184"/>
      <c r="AF173" s="33"/>
    </row>
    <row r="174" spans="1:32" ht="30" customHeight="1" x14ac:dyDescent="0.25">
      <c r="A174" s="2914"/>
      <c r="B174" s="1398"/>
      <c r="C174" s="938"/>
      <c r="D174" s="1051"/>
      <c r="E174" s="1151"/>
      <c r="F174" s="938"/>
      <c r="G174" s="1052"/>
      <c r="H174" s="1398"/>
      <c r="I174" s="938"/>
      <c r="J174" s="1051"/>
      <c r="K174" s="1558"/>
      <c r="L174" s="938"/>
      <c r="M174" s="1279"/>
      <c r="N174" s="1151"/>
      <c r="O174" s="1053"/>
      <c r="P174" s="1900"/>
      <c r="Q174" s="492"/>
      <c r="R174" s="492"/>
      <c r="S174" s="470"/>
      <c r="T174" s="1399"/>
      <c r="U174" s="1053"/>
      <c r="V174" s="1051"/>
      <c r="W174" s="1558"/>
      <c r="X174" s="1053"/>
      <c r="Y174" s="1051"/>
      <c r="Z174" s="1398"/>
      <c r="AA174" s="1053"/>
      <c r="AB174" s="1052"/>
      <c r="AC174" s="1558"/>
      <c r="AD174" s="1053"/>
      <c r="AE174" s="1279"/>
      <c r="AF174" s="33"/>
    </row>
    <row r="175" spans="1:32" ht="30" customHeight="1" x14ac:dyDescent="0.3">
      <c r="A175" s="2923" t="s">
        <v>186</v>
      </c>
      <c r="B175" s="963" t="s">
        <v>792</v>
      </c>
      <c r="C175" s="957"/>
      <c r="D175" s="957"/>
      <c r="E175" s="957"/>
      <c r="F175" s="957"/>
      <c r="G175" s="958"/>
      <c r="H175" s="963" t="s">
        <v>792</v>
      </c>
      <c r="I175" s="957"/>
      <c r="J175" s="957"/>
      <c r="K175" s="957"/>
      <c r="L175" s="957"/>
      <c r="M175" s="958"/>
      <c r="N175" s="380"/>
      <c r="O175" s="69"/>
      <c r="P175" s="381"/>
      <c r="Q175" s="505"/>
      <c r="R175" s="20"/>
      <c r="S175" s="20"/>
      <c r="T175" s="1543"/>
      <c r="U175" s="1165"/>
      <c r="V175" s="1356"/>
      <c r="W175" s="967"/>
      <c r="X175" s="1166"/>
      <c r="Y175" s="1540"/>
      <c r="Z175" s="506"/>
      <c r="AA175" s="250"/>
      <c r="AB175" s="374"/>
      <c r="AC175" s="357"/>
      <c r="AD175" s="360"/>
      <c r="AE175" s="361"/>
    </row>
    <row r="176" spans="1:32" ht="30" customHeight="1" x14ac:dyDescent="0.25">
      <c r="A176" s="2914"/>
      <c r="B176" s="951" t="s">
        <v>553</v>
      </c>
      <c r="C176" s="952"/>
      <c r="D176" s="952"/>
      <c r="E176" s="952"/>
      <c r="F176" s="952"/>
      <c r="G176" s="953"/>
      <c r="H176" s="951" t="s">
        <v>553</v>
      </c>
      <c r="I176" s="952"/>
      <c r="J176" s="952"/>
      <c r="K176" s="952"/>
      <c r="L176" s="952"/>
      <c r="M176" s="953"/>
      <c r="N176" s="471"/>
      <c r="O176" s="69"/>
      <c r="P176" s="268"/>
      <c r="Q176" s="20"/>
      <c r="R176" s="20"/>
      <c r="S176" s="20"/>
      <c r="T176" s="1387"/>
      <c r="U176" s="1166"/>
      <c r="V176" s="1357"/>
      <c r="W176" s="968"/>
      <c r="X176" s="1166"/>
      <c r="Y176" s="1168"/>
      <c r="Z176" s="507"/>
      <c r="AA176" s="250"/>
      <c r="AB176" s="348"/>
      <c r="AC176" s="348"/>
      <c r="AD176" s="348"/>
      <c r="AE176" s="363"/>
      <c r="AF176" s="33"/>
    </row>
    <row r="177" spans="1:31" ht="30" customHeight="1" x14ac:dyDescent="0.3">
      <c r="A177" s="2923" t="s">
        <v>187</v>
      </c>
      <c r="B177" s="20"/>
      <c r="C177" s="20"/>
      <c r="D177" s="20"/>
      <c r="E177" s="20"/>
      <c r="F177" s="20"/>
      <c r="G177" s="20"/>
      <c r="H177" s="504"/>
      <c r="I177" s="20"/>
      <c r="J177" s="20"/>
      <c r="K177" s="20"/>
      <c r="L177" s="20"/>
      <c r="M177" s="20"/>
      <c r="N177" s="471"/>
      <c r="O177" s="69"/>
      <c r="P177" s="268"/>
      <c r="Q177" s="20"/>
      <c r="R177" s="20"/>
      <c r="S177" s="20"/>
      <c r="T177" s="1387"/>
      <c r="U177" s="1166"/>
      <c r="V177" s="1357"/>
      <c r="W177" s="968"/>
      <c r="X177" s="1166"/>
      <c r="Y177" s="1168"/>
      <c r="Z177" s="508"/>
      <c r="AA177" s="509"/>
      <c r="AB177" s="374"/>
      <c r="AC177" s="360"/>
      <c r="AD177" s="360"/>
      <c r="AE177" s="358"/>
    </row>
    <row r="178" spans="1:31" ht="30" customHeight="1" x14ac:dyDescent="0.25">
      <c r="A178" s="2924"/>
      <c r="B178" s="491"/>
      <c r="C178" s="492"/>
      <c r="D178" s="20"/>
      <c r="E178" s="492"/>
      <c r="F178" s="20"/>
      <c r="G178" s="470"/>
      <c r="H178" s="20"/>
      <c r="I178" s="492"/>
      <c r="J178" s="20"/>
      <c r="K178" s="20"/>
      <c r="L178" s="20"/>
      <c r="M178" s="470"/>
      <c r="N178" s="471"/>
      <c r="O178" s="69"/>
      <c r="P178" s="268"/>
      <c r="Q178" s="492"/>
      <c r="R178" s="20"/>
      <c r="S178" s="470"/>
      <c r="T178" s="1388"/>
      <c r="U178" s="1397"/>
      <c r="V178" s="1358"/>
      <c r="W178" s="968"/>
      <c r="X178" s="1166"/>
      <c r="Y178" s="1379"/>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21" t="s">
        <v>214</v>
      </c>
      <c r="B182" s="2922"/>
      <c r="C182" s="2271" t="s">
        <v>215</v>
      </c>
      <c r="D182" s="2272"/>
      <c r="E182" s="2272"/>
      <c r="F182" s="2272"/>
      <c r="G182" s="2272"/>
      <c r="H182" s="2272"/>
      <c r="I182" s="2272"/>
      <c r="J182" s="2272"/>
      <c r="K182" s="2272"/>
      <c r="L182" s="166"/>
      <c r="M182" s="2273" t="s">
        <v>618</v>
      </c>
      <c r="N182" s="2268"/>
      <c r="O182" s="2271" t="s">
        <v>139</v>
      </c>
      <c r="P182" s="2274"/>
      <c r="Q182" s="2271" t="s">
        <v>163</v>
      </c>
      <c r="R182" s="2272"/>
      <c r="S182" s="2272"/>
      <c r="T182" s="2272"/>
      <c r="U182" s="2272"/>
      <c r="V182" s="2272"/>
      <c r="W182" s="2272"/>
      <c r="X182" s="2272"/>
      <c r="Y182" s="2272"/>
      <c r="Z182" s="2272"/>
      <c r="AA182" s="2272"/>
      <c r="AB182" s="2272"/>
      <c r="AC182" s="2272"/>
      <c r="AD182" s="2272"/>
      <c r="AE182" s="2274"/>
    </row>
    <row r="183" spans="1:31" ht="13.8" x14ac:dyDescent="0.25">
      <c r="A183" s="2251" t="s">
        <v>792</v>
      </c>
      <c r="B183" s="2252"/>
      <c r="C183" s="2006" t="str">
        <f>ASIGNATURAS!I329</f>
        <v>Fisiopatología Humana</v>
      </c>
      <c r="D183" s="1177"/>
      <c r="E183" s="1177"/>
      <c r="F183" s="1177"/>
      <c r="G183" s="1177"/>
      <c r="H183" s="1177"/>
      <c r="I183" s="1177"/>
      <c r="J183" s="1177"/>
      <c r="K183" s="1177"/>
      <c r="L183" s="981"/>
      <c r="M183" s="2145">
        <v>8228</v>
      </c>
      <c r="N183" s="936"/>
      <c r="O183" s="2145">
        <v>6</v>
      </c>
      <c r="P183" s="936"/>
      <c r="Q183" s="2006" t="str">
        <f>ASIGNATURAS!K329</f>
        <v>Jonatan Rojo, Miriam Saíz, Juan Valencia</v>
      </c>
      <c r="R183" s="1177"/>
      <c r="S183" s="1177"/>
      <c r="T183" s="1177"/>
      <c r="U183" s="1177"/>
      <c r="V183" s="1177"/>
      <c r="W183" s="1177"/>
      <c r="X183" s="1177"/>
      <c r="Y183" s="1177"/>
      <c r="Z183" s="1177"/>
      <c r="AA183" s="1177"/>
      <c r="AB183" s="1177"/>
      <c r="AC183" s="1177"/>
      <c r="AD183" s="1177"/>
      <c r="AE183" s="981"/>
    </row>
    <row r="184" spans="1:31" ht="13.8" x14ac:dyDescent="0.25">
      <c r="A184" s="2251" t="s">
        <v>102</v>
      </c>
      <c r="B184" s="2252"/>
      <c r="C184" s="2006" t="str">
        <f>ASIGNATURAS!I330</f>
        <v>Pipios de Comunicaciones y Redes</v>
      </c>
      <c r="D184" s="1177"/>
      <c r="E184" s="1177"/>
      <c r="F184" s="1177"/>
      <c r="G184" s="1177"/>
      <c r="H184" s="1177"/>
      <c r="I184" s="1177"/>
      <c r="J184" s="1177"/>
      <c r="K184" s="1177"/>
      <c r="L184" s="981"/>
      <c r="M184" s="2145">
        <v>8229</v>
      </c>
      <c r="N184" s="936"/>
      <c r="O184" s="2145">
        <v>6</v>
      </c>
      <c r="P184" s="936"/>
      <c r="Q184" s="2006" t="str">
        <f>ASIGNATURAS!K330</f>
        <v>Alejandro Merino Gómez</v>
      </c>
      <c r="R184" s="1177"/>
      <c r="S184" s="1177"/>
      <c r="T184" s="1177"/>
      <c r="U184" s="1177"/>
      <c r="V184" s="1177"/>
      <c r="W184" s="1177"/>
      <c r="X184" s="1177"/>
      <c r="Y184" s="1177"/>
      <c r="Z184" s="1177"/>
      <c r="AA184" s="1177"/>
      <c r="AB184" s="1177"/>
      <c r="AC184" s="1177"/>
      <c r="AD184" s="1177"/>
      <c r="AE184" s="981"/>
    </row>
    <row r="185" spans="1:31" ht="14.25" customHeight="1" x14ac:dyDescent="0.25">
      <c r="A185" s="2251" t="s">
        <v>774</v>
      </c>
      <c r="B185" s="2252"/>
      <c r="C185" s="2006" t="str">
        <f>ASIGNATURAS!I331</f>
        <v>Electrónica</v>
      </c>
      <c r="D185" s="1177"/>
      <c r="E185" s="1177"/>
      <c r="F185" s="1177"/>
      <c r="G185" s="1177"/>
      <c r="H185" s="1177"/>
      <c r="I185" s="1177"/>
      <c r="J185" s="1177"/>
      <c r="K185" s="1177"/>
      <c r="L185" s="981"/>
      <c r="M185" s="2145">
        <v>8230</v>
      </c>
      <c r="N185" s="936"/>
      <c r="O185" s="2145">
        <v>6</v>
      </c>
      <c r="P185" s="936"/>
      <c r="Q185" s="2006" t="str">
        <f>ASIGNATURAS!K331</f>
        <v>Mª Isabel Dieste Velasco</v>
      </c>
      <c r="R185" s="1177"/>
      <c r="S185" s="1177"/>
      <c r="T185" s="1177"/>
      <c r="U185" s="1177"/>
      <c r="V185" s="1177"/>
      <c r="W185" s="1177"/>
      <c r="X185" s="1177"/>
      <c r="Y185" s="1177"/>
      <c r="Z185" s="1177"/>
      <c r="AA185" s="1177"/>
      <c r="AB185" s="1177"/>
      <c r="AC185" s="1177"/>
      <c r="AD185" s="1177"/>
      <c r="AE185" s="981"/>
    </row>
    <row r="186" spans="1:31" ht="14.25" customHeight="1" x14ac:dyDescent="0.25">
      <c r="A186" s="2251" t="s">
        <v>791</v>
      </c>
      <c r="B186" s="2252"/>
      <c r="C186" s="2006" t="str">
        <f>ASIGNATURAS!I332</f>
        <v>Estructura de Datos y Algoritmos</v>
      </c>
      <c r="D186" s="1177"/>
      <c r="E186" s="1177"/>
      <c r="F186" s="1177"/>
      <c r="G186" s="1177"/>
      <c r="H186" s="1177"/>
      <c r="I186" s="1177"/>
      <c r="J186" s="1177"/>
      <c r="K186" s="1177"/>
      <c r="L186" s="981"/>
      <c r="M186" s="2145">
        <v>8231</v>
      </c>
      <c r="N186" s="936"/>
      <c r="O186" s="936">
        <v>6</v>
      </c>
      <c r="P186" s="1205"/>
      <c r="Q186" s="2006" t="str">
        <f>ASIGNATURAS!K332</f>
        <v>Juan José Rodríguez Díez</v>
      </c>
      <c r="R186" s="1177"/>
      <c r="S186" s="1177"/>
      <c r="T186" s="1177"/>
      <c r="U186" s="1177"/>
      <c r="V186" s="1177"/>
      <c r="W186" s="1177"/>
      <c r="X186" s="1177"/>
      <c r="Y186" s="1177"/>
      <c r="Z186" s="1177"/>
      <c r="AA186" s="1177"/>
      <c r="AB186" s="1177"/>
      <c r="AC186" s="1177"/>
      <c r="AD186" s="1177"/>
      <c r="AE186" s="981"/>
    </row>
    <row r="187" spans="1:31" ht="14.25" customHeight="1" x14ac:dyDescent="0.25">
      <c r="A187" s="2251" t="s">
        <v>99</v>
      </c>
      <c r="B187" s="2252"/>
      <c r="C187" s="2006" t="str">
        <f>ASIGNATURAS!I333</f>
        <v>Ing. Y Gestión de Proyectos de Software Clínico</v>
      </c>
      <c r="D187" s="1177"/>
      <c r="E187" s="1177"/>
      <c r="F187" s="1177"/>
      <c r="G187" s="1177"/>
      <c r="H187" s="1177"/>
      <c r="I187" s="1177"/>
      <c r="J187" s="1177"/>
      <c r="K187" s="1177"/>
      <c r="L187" s="981"/>
      <c r="M187" s="2145">
        <v>8232</v>
      </c>
      <c r="N187" s="936"/>
      <c r="O187" s="936">
        <v>6</v>
      </c>
      <c r="P187" s="1205"/>
      <c r="Q187" s="2006" t="str">
        <f>ASIGNATURAS!K333</f>
        <v/>
      </c>
      <c r="R187" s="1177"/>
      <c r="S187" s="1177"/>
      <c r="T187" s="1177"/>
      <c r="U187" s="1177"/>
      <c r="V187" s="1177"/>
      <c r="W187" s="1177"/>
      <c r="X187" s="1177"/>
      <c r="Y187" s="1177"/>
      <c r="Z187" s="1177"/>
      <c r="AA187" s="1177"/>
      <c r="AB187" s="1177"/>
      <c r="AC187" s="1177"/>
      <c r="AD187" s="1177"/>
      <c r="AE187" s="981"/>
    </row>
    <row r="190" spans="1:31" ht="15" x14ac:dyDescent="0.25">
      <c r="A190" s="2972" t="s">
        <v>165</v>
      </c>
      <c r="B190" s="2973"/>
      <c r="C190" s="2973"/>
      <c r="D190" s="2973"/>
      <c r="E190" s="2974"/>
    </row>
    <row r="191" spans="1:31" ht="15" x14ac:dyDescent="0.25">
      <c r="A191" s="2928" t="s">
        <v>720</v>
      </c>
      <c r="B191" s="2975"/>
      <c r="C191" s="2975"/>
      <c r="D191" s="2975"/>
      <c r="E191" s="2976"/>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6" t="s">
        <v>575</v>
      </c>
      <c r="AZ194" s="3037"/>
      <c r="BA194" s="3037"/>
      <c r="BB194" s="3037"/>
      <c r="BC194" s="3037"/>
      <c r="BD194" s="3038"/>
    </row>
    <row r="195" spans="1:56" ht="60.75" customHeight="1" x14ac:dyDescent="0.25">
      <c r="A195" s="2296" t="s">
        <v>967</v>
      </c>
      <c r="B195" s="2297"/>
      <c r="C195" s="2297"/>
      <c r="D195" s="2297"/>
      <c r="E195" s="2297"/>
      <c r="F195" s="2297"/>
      <c r="G195" s="2297"/>
      <c r="H195" s="2297"/>
      <c r="I195" s="2297"/>
      <c r="J195" s="2297"/>
      <c r="K195" s="2297"/>
      <c r="L195" s="2297"/>
      <c r="M195" s="2297"/>
      <c r="N195" s="2297"/>
      <c r="O195" s="2297"/>
      <c r="P195" s="2297"/>
      <c r="Q195" s="2297"/>
      <c r="R195" s="2297"/>
      <c r="S195" s="2297"/>
      <c r="T195" s="2297"/>
      <c r="U195" s="2297"/>
      <c r="V195" s="2297"/>
      <c r="W195" s="2297"/>
      <c r="X195" s="2297"/>
      <c r="Y195" s="2298"/>
      <c r="Z195" s="2254" t="str">
        <f>Z1</f>
        <v>Curso 2024-2025</v>
      </c>
      <c r="AA195" s="2254"/>
      <c r="AB195" s="2254"/>
      <c r="AC195" s="2254"/>
      <c r="AD195" s="2254"/>
      <c r="AE195" s="2255"/>
      <c r="AY195" s="2878" t="s">
        <v>812</v>
      </c>
      <c r="AZ195" s="2879"/>
      <c r="BA195" s="2879"/>
      <c r="BB195" s="2879"/>
      <c r="BC195" s="2879"/>
      <c r="BD195" s="2880"/>
    </row>
    <row r="196" spans="1:56" ht="23.25" customHeight="1" x14ac:dyDescent="0.25">
      <c r="A196" s="2291" t="s">
        <v>968</v>
      </c>
      <c r="B196" s="2292"/>
      <c r="C196" s="2292"/>
      <c r="D196" s="2292"/>
      <c r="E196" s="2292"/>
      <c r="F196" s="2292"/>
      <c r="G196" s="2292"/>
      <c r="H196" s="2292"/>
      <c r="I196" s="2292"/>
      <c r="J196" s="2292"/>
      <c r="K196" s="2292"/>
      <c r="L196" s="2292"/>
      <c r="M196" s="2292"/>
      <c r="N196" s="2292"/>
      <c r="O196" s="2292"/>
      <c r="P196" s="2292"/>
      <c r="Q196" s="2292"/>
      <c r="R196" s="2292"/>
      <c r="S196" s="2292"/>
      <c r="T196" s="2292"/>
      <c r="U196" s="2292"/>
      <c r="V196" s="2292"/>
      <c r="W196" s="2292"/>
      <c r="X196" s="2292"/>
      <c r="Y196" s="2293"/>
      <c r="Z196" s="2912" t="s">
        <v>152</v>
      </c>
      <c r="AA196" s="2912"/>
      <c r="AB196" s="2912"/>
      <c r="AC196" s="2912"/>
      <c r="AD196" s="2912"/>
      <c r="AE196" s="2958"/>
    </row>
    <row r="197" spans="1:56" ht="23.25" customHeight="1" x14ac:dyDescent="0.25">
      <c r="A197" s="2264" t="s">
        <v>1024</v>
      </c>
      <c r="B197" s="2265"/>
      <c r="C197" s="2265"/>
      <c r="D197" s="2265"/>
      <c r="E197" s="2265"/>
      <c r="F197" s="2265"/>
      <c r="G197" s="2265"/>
      <c r="H197" s="2265"/>
      <c r="I197" s="2265"/>
      <c r="J197" s="2265"/>
      <c r="K197" s="2265"/>
      <c r="L197" s="2265"/>
      <c r="M197" s="2265"/>
      <c r="N197" s="2265"/>
      <c r="O197" s="2265"/>
      <c r="P197" s="2265"/>
      <c r="Q197" s="2265"/>
      <c r="R197" s="2265"/>
      <c r="S197" s="2265"/>
      <c r="T197" s="2265"/>
      <c r="U197" s="2265"/>
      <c r="V197" s="2265"/>
      <c r="W197" s="2265"/>
      <c r="X197" s="2265"/>
      <c r="Y197" s="2266"/>
      <c r="Z197" s="2959"/>
      <c r="AA197" s="2959"/>
      <c r="AB197" s="2959"/>
      <c r="AC197" s="2959"/>
      <c r="AD197" s="2959"/>
      <c r="AE197" s="2960"/>
    </row>
    <row r="198" spans="1:56" ht="15.75" customHeight="1" thickBot="1" x14ac:dyDescent="0.3">
      <c r="A198" s="9" t="s">
        <v>702</v>
      </c>
      <c r="AE198" s="367"/>
    </row>
    <row r="199" spans="1:56" ht="8.25" hidden="1" customHeight="1" thickBot="1" x14ac:dyDescent="0.3">
      <c r="A199" s="165" t="s">
        <v>1</v>
      </c>
      <c r="B199" s="2284" t="s">
        <v>2</v>
      </c>
      <c r="C199" s="2284"/>
      <c r="D199" s="2284"/>
      <c r="E199" s="2284"/>
      <c r="F199" s="2284"/>
      <c r="G199" s="2285"/>
      <c r="H199" s="2284" t="s">
        <v>3</v>
      </c>
      <c r="I199" s="2284"/>
      <c r="J199" s="2284"/>
      <c r="K199" s="2284"/>
      <c r="L199" s="2284"/>
      <c r="M199" s="2285"/>
      <c r="N199" s="2286" t="s">
        <v>135</v>
      </c>
      <c r="O199" s="2287"/>
      <c r="P199" s="2287"/>
      <c r="Q199" s="2287"/>
      <c r="R199" s="2287"/>
      <c r="S199" s="2288"/>
      <c r="T199" s="2284" t="s">
        <v>4</v>
      </c>
      <c r="U199" s="2284"/>
      <c r="V199" s="2284"/>
      <c r="W199" s="2284"/>
      <c r="X199" s="2284"/>
      <c r="Y199" s="2285"/>
      <c r="Z199" s="2286" t="s">
        <v>5</v>
      </c>
      <c r="AA199" s="2287"/>
      <c r="AB199" s="2287"/>
      <c r="AC199" s="2287"/>
      <c r="AD199" s="2287"/>
      <c r="AE199" s="2288"/>
    </row>
    <row r="200" spans="1:56" ht="16.2" hidden="1" thickBot="1" x14ac:dyDescent="0.35">
      <c r="A200" s="2923" t="s">
        <v>10</v>
      </c>
      <c r="B200" s="931"/>
      <c r="C200" s="932"/>
      <c r="D200" s="932"/>
      <c r="E200" s="932"/>
      <c r="F200" s="932"/>
      <c r="G200" s="933"/>
      <c r="H200" s="2966"/>
      <c r="I200" s="2967"/>
      <c r="J200" s="2967"/>
      <c r="K200" s="2967"/>
      <c r="L200" s="2967"/>
      <c r="M200" s="2968"/>
      <c r="N200" s="2966"/>
      <c r="O200" s="2967"/>
      <c r="P200" s="2967"/>
      <c r="Q200" s="2967"/>
      <c r="R200" s="2967"/>
      <c r="S200" s="2968"/>
      <c r="T200" s="349"/>
      <c r="U200" s="350"/>
      <c r="V200" s="350"/>
      <c r="W200" s="350"/>
      <c r="X200" s="350"/>
      <c r="Y200" s="351"/>
      <c r="Z200" s="278"/>
      <c r="AA200" s="10"/>
      <c r="AB200" s="374"/>
      <c r="AC200" s="360"/>
      <c r="AD200" s="360"/>
      <c r="AE200" s="361"/>
    </row>
    <row r="201" spans="1:56" ht="13.8" hidden="1" thickBot="1" x14ac:dyDescent="0.3">
      <c r="A201" s="2924"/>
      <c r="B201" s="1297"/>
      <c r="C201" s="1298"/>
      <c r="D201" s="1298"/>
      <c r="E201" s="1298"/>
      <c r="F201" s="1298"/>
      <c r="G201" s="1299"/>
      <c r="H201" s="1297"/>
      <c r="I201" s="1298"/>
      <c r="J201" s="1298"/>
      <c r="K201" s="1298"/>
      <c r="L201" s="1298"/>
      <c r="M201" s="1299"/>
      <c r="N201" s="1297"/>
      <c r="O201" s="1298"/>
      <c r="P201" s="1298"/>
      <c r="Q201" s="1298"/>
      <c r="R201" s="1298"/>
      <c r="S201" s="1299"/>
      <c r="T201" s="362"/>
      <c r="U201" s="348"/>
      <c r="V201" s="348"/>
      <c r="W201" s="365"/>
      <c r="X201" s="365"/>
      <c r="Y201" s="371"/>
      <c r="Z201" s="278"/>
      <c r="AA201" s="10"/>
      <c r="AB201" s="348"/>
      <c r="AC201" s="365"/>
      <c r="AD201" s="348"/>
      <c r="AE201" s="371"/>
    </row>
    <row r="202" spans="1:56" ht="16.2" hidden="1" thickBot="1" x14ac:dyDescent="0.35">
      <c r="A202" s="2923"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24"/>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23" t="s">
        <v>6</v>
      </c>
      <c r="B204" s="931"/>
      <c r="C204" s="932"/>
      <c r="D204" s="932"/>
      <c r="E204" s="932"/>
      <c r="F204" s="932"/>
      <c r="G204" s="933"/>
      <c r="H204" s="931"/>
      <c r="I204" s="932"/>
      <c r="J204" s="932"/>
      <c r="K204" s="932"/>
      <c r="L204" s="932"/>
      <c r="M204" s="933"/>
      <c r="N204" s="931"/>
      <c r="O204" s="932"/>
      <c r="P204" s="932"/>
      <c r="Q204" s="932"/>
      <c r="R204" s="932"/>
      <c r="S204" s="933"/>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4"/>
      <c r="B205" s="1297"/>
      <c r="C205" s="1298"/>
      <c r="D205" s="1298"/>
      <c r="E205" s="1298"/>
      <c r="F205" s="1298"/>
      <c r="G205" s="1299"/>
      <c r="H205" s="1297"/>
      <c r="I205" s="1298"/>
      <c r="J205" s="1298"/>
      <c r="K205" s="1298"/>
      <c r="L205" s="1298"/>
      <c r="M205" s="1299"/>
      <c r="N205" s="2969"/>
      <c r="O205" s="2970"/>
      <c r="P205" s="2970"/>
      <c r="Q205" s="2970"/>
      <c r="R205" s="2970"/>
      <c r="S205" s="2971"/>
      <c r="T205" s="362"/>
      <c r="U205" s="365"/>
      <c r="V205" s="365"/>
      <c r="W205" s="348"/>
      <c r="X205" s="365"/>
      <c r="Y205" s="363"/>
      <c r="Z205" s="278"/>
      <c r="AA205" s="283"/>
      <c r="AB205" s="348"/>
      <c r="AC205" s="348"/>
      <c r="AD205" s="348"/>
      <c r="AE205" s="371"/>
    </row>
    <row r="206" spans="1:56" ht="16.2" hidden="1" thickBot="1" x14ac:dyDescent="0.35">
      <c r="A206" s="2923" t="s">
        <v>7</v>
      </c>
      <c r="B206" s="931"/>
      <c r="C206" s="932"/>
      <c r="D206" s="932"/>
      <c r="E206" s="932"/>
      <c r="F206" s="932"/>
      <c r="G206" s="933"/>
      <c r="H206" s="931"/>
      <c r="I206" s="932"/>
      <c r="J206" s="932"/>
      <c r="K206" s="932"/>
      <c r="L206" s="932"/>
      <c r="M206" s="933"/>
      <c r="N206" s="931"/>
      <c r="O206" s="932"/>
      <c r="P206" s="932"/>
      <c r="Q206" s="932"/>
      <c r="R206" s="932"/>
      <c r="S206" s="933"/>
      <c r="T206" s="359"/>
      <c r="U206" s="357"/>
      <c r="V206" s="357"/>
      <c r="W206" s="360"/>
      <c r="X206" s="357"/>
      <c r="Y206" s="361"/>
      <c r="Z206" s="368"/>
      <c r="AA206" s="10"/>
      <c r="AB206" s="373"/>
      <c r="AC206" s="360"/>
      <c r="AD206" s="360"/>
      <c r="AE206" s="358"/>
    </row>
    <row r="207" spans="1:56" ht="13.8" hidden="1" thickBot="1" x14ac:dyDescent="0.3">
      <c r="A207" s="2924"/>
      <c r="B207" s="1297"/>
      <c r="C207" s="1298"/>
      <c r="D207" s="1298"/>
      <c r="E207" s="1298"/>
      <c r="F207" s="1298"/>
      <c r="G207" s="1299"/>
      <c r="H207" s="1297"/>
      <c r="I207" s="1298"/>
      <c r="J207" s="1298"/>
      <c r="K207" s="1298"/>
      <c r="L207" s="1298"/>
      <c r="M207" s="1299"/>
      <c r="N207" s="1297"/>
      <c r="O207" s="1298"/>
      <c r="P207" s="1298"/>
      <c r="Q207" s="1298"/>
      <c r="R207" s="1298"/>
      <c r="S207" s="1299"/>
      <c r="T207" s="362"/>
      <c r="U207" s="348"/>
      <c r="V207" s="348"/>
      <c r="W207" s="348"/>
      <c r="X207" s="348"/>
      <c r="Y207" s="371"/>
      <c r="Z207" s="278"/>
      <c r="AA207" s="10"/>
      <c r="AB207" s="348"/>
      <c r="AC207" s="365"/>
      <c r="AD207" s="365"/>
      <c r="AE207" s="363"/>
    </row>
    <row r="208" spans="1:56" ht="16.2" hidden="1" thickBot="1" x14ac:dyDescent="0.35">
      <c r="A208" s="2923" t="s">
        <v>8</v>
      </c>
      <c r="B208" s="931"/>
      <c r="C208" s="932"/>
      <c r="D208" s="932"/>
      <c r="E208" s="932"/>
      <c r="F208" s="932"/>
      <c r="G208" s="933"/>
      <c r="H208" s="931"/>
      <c r="I208" s="932"/>
      <c r="J208" s="932"/>
      <c r="K208" s="932"/>
      <c r="L208" s="932"/>
      <c r="M208" s="933"/>
      <c r="N208" s="2961"/>
      <c r="O208" s="2320"/>
      <c r="P208" s="2320"/>
      <c r="Q208" s="2320"/>
      <c r="R208" s="2320"/>
      <c r="S208" s="2962"/>
      <c r="T208" s="359"/>
      <c r="U208" s="360"/>
      <c r="V208" s="360"/>
      <c r="W208" s="360"/>
      <c r="X208" s="360"/>
      <c r="Y208" s="358"/>
      <c r="Z208" s="368"/>
      <c r="AA208" s="282"/>
      <c r="AB208" s="373"/>
      <c r="AC208" s="357"/>
      <c r="AD208" s="357"/>
      <c r="AE208" s="361"/>
    </row>
    <row r="209" spans="1:63" ht="13.8" hidden="1" thickBot="1" x14ac:dyDescent="0.3">
      <c r="A209" s="2924"/>
      <c r="B209" s="1297"/>
      <c r="C209" s="1298"/>
      <c r="D209" s="1298"/>
      <c r="E209" s="1298"/>
      <c r="F209" s="1298"/>
      <c r="G209" s="1299"/>
      <c r="H209" s="1297"/>
      <c r="I209" s="1298"/>
      <c r="J209" s="1298"/>
      <c r="K209" s="1298"/>
      <c r="L209" s="1298"/>
      <c r="M209" s="1299"/>
      <c r="N209" s="1297"/>
      <c r="O209" s="1298"/>
      <c r="P209" s="1298"/>
      <c r="Q209" s="1298"/>
      <c r="R209" s="1298"/>
      <c r="S209" s="1299"/>
      <c r="T209" s="364"/>
      <c r="U209" s="365"/>
      <c r="V209" s="348"/>
      <c r="W209" s="365"/>
      <c r="X209" s="348"/>
      <c r="Y209" s="371"/>
      <c r="Z209" s="278"/>
      <c r="AA209" s="10"/>
      <c r="AB209" s="348"/>
      <c r="AC209" s="348"/>
      <c r="AD209" s="348"/>
      <c r="AE209" s="371"/>
    </row>
    <row r="210" spans="1:63" ht="16.2" hidden="1" thickBot="1" x14ac:dyDescent="0.35">
      <c r="A210" s="2923" t="s">
        <v>9</v>
      </c>
      <c r="B210" s="931"/>
      <c r="C210" s="932"/>
      <c r="D210" s="932"/>
      <c r="E210" s="932"/>
      <c r="F210" s="932"/>
      <c r="G210" s="933"/>
      <c r="H210" s="931"/>
      <c r="I210" s="932"/>
      <c r="J210" s="932"/>
      <c r="K210" s="932"/>
      <c r="L210" s="932"/>
      <c r="M210" s="933"/>
      <c r="N210" s="2961"/>
      <c r="O210" s="2320"/>
      <c r="P210" s="2320"/>
      <c r="Q210" s="2320"/>
      <c r="R210" s="2320"/>
      <c r="S210" s="2962"/>
      <c r="T210" s="356"/>
      <c r="U210" s="357"/>
      <c r="V210" s="360"/>
      <c r="W210" s="357"/>
      <c r="X210" s="360"/>
      <c r="Y210" s="358"/>
      <c r="Z210" s="368"/>
      <c r="AA210" s="282"/>
      <c r="AB210" s="373"/>
      <c r="AC210" s="360"/>
      <c r="AD210" s="360"/>
      <c r="AE210" s="358"/>
    </row>
    <row r="211" spans="1:63" ht="13.8" hidden="1" thickBot="1" x14ac:dyDescent="0.3">
      <c r="A211" s="2924"/>
      <c r="B211" s="1297"/>
      <c r="C211" s="1298"/>
      <c r="D211" s="1298"/>
      <c r="E211" s="1298"/>
      <c r="F211" s="1298"/>
      <c r="G211" s="1299"/>
      <c r="H211" s="1297"/>
      <c r="I211" s="1298"/>
      <c r="J211" s="1298"/>
      <c r="K211" s="1298"/>
      <c r="L211" s="1298"/>
      <c r="M211" s="1299"/>
      <c r="N211" s="1297"/>
      <c r="O211" s="1298"/>
      <c r="P211" s="1298"/>
      <c r="Q211" s="1298"/>
      <c r="R211" s="1298"/>
      <c r="S211" s="1299"/>
      <c r="T211" s="362"/>
      <c r="U211" s="348"/>
      <c r="V211" s="348"/>
      <c r="W211" s="348"/>
      <c r="X211" s="348"/>
      <c r="Y211" s="363"/>
      <c r="Z211" s="278"/>
      <c r="AA211" s="10"/>
      <c r="AB211" s="348"/>
      <c r="AC211" s="348"/>
      <c r="AD211" s="348"/>
      <c r="AE211" s="363"/>
    </row>
    <row r="212" spans="1:63" ht="18" thickBot="1" x14ac:dyDescent="0.3">
      <c r="A212" s="19" t="s">
        <v>1</v>
      </c>
      <c r="B212" s="975" t="s">
        <v>2</v>
      </c>
      <c r="C212" s="976"/>
      <c r="D212" s="976"/>
      <c r="E212" s="976"/>
      <c r="F212" s="976"/>
      <c r="G212" s="977"/>
      <c r="H212" s="975" t="s">
        <v>3</v>
      </c>
      <c r="I212" s="976"/>
      <c r="J212" s="976"/>
      <c r="K212" s="976"/>
      <c r="L212" s="976"/>
      <c r="M212" s="977"/>
      <c r="N212" s="975" t="s">
        <v>135</v>
      </c>
      <c r="O212" s="976"/>
      <c r="P212" s="976"/>
      <c r="Q212" s="976"/>
      <c r="R212" s="976"/>
      <c r="S212" s="977"/>
      <c r="T212" s="975" t="s">
        <v>4</v>
      </c>
      <c r="U212" s="976"/>
      <c r="V212" s="976"/>
      <c r="W212" s="976"/>
      <c r="X212" s="976"/>
      <c r="Y212" s="977"/>
      <c r="Z212" s="975" t="s">
        <v>5</v>
      </c>
      <c r="AA212" s="976"/>
      <c r="AB212" s="976"/>
      <c r="AC212" s="976"/>
      <c r="AD212" s="976"/>
      <c r="AE212" s="977"/>
    </row>
    <row r="213" spans="1:63" ht="30" hidden="1" customHeight="1" x14ac:dyDescent="0.25">
      <c r="A213" s="2978" t="s">
        <v>788</v>
      </c>
      <c r="H213" s="68"/>
      <c r="L213" s="125"/>
      <c r="M213" s="444"/>
    </row>
    <row r="214" spans="1:63" ht="24.75" hidden="1" customHeight="1" x14ac:dyDescent="0.25">
      <c r="A214" s="2914"/>
      <c r="H214" s="463"/>
      <c r="I214" s="406"/>
      <c r="J214" s="406"/>
      <c r="K214" s="406"/>
      <c r="L214" s="406"/>
      <c r="M214" s="464"/>
      <c r="X214" s="102"/>
      <c r="AP214" s="378"/>
      <c r="AQ214" s="938"/>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8" t="s">
        <v>10</v>
      </c>
      <c r="B215" s="1223" t="s">
        <v>940</v>
      </c>
      <c r="C215" s="1223" t="s">
        <v>569</v>
      </c>
      <c r="D215" s="3026" t="s">
        <v>733</v>
      </c>
      <c r="E215" s="125"/>
      <c r="F215" s="1165"/>
      <c r="G215" s="505"/>
      <c r="H215" s="986" t="s">
        <v>1002</v>
      </c>
      <c r="I215" s="987"/>
      <c r="J215" s="987"/>
      <c r="K215" s="987"/>
      <c r="L215" s="987"/>
      <c r="M215" s="988"/>
      <c r="N215" s="963" t="s">
        <v>940</v>
      </c>
      <c r="O215" s="957"/>
      <c r="P215" s="957"/>
      <c r="Q215" s="957"/>
      <c r="R215" s="957"/>
      <c r="S215" s="958"/>
      <c r="T215" s="1467" t="s">
        <v>935</v>
      </c>
      <c r="U215" s="1223" t="s">
        <v>570</v>
      </c>
      <c r="V215" s="3026" t="s">
        <v>141</v>
      </c>
      <c r="W215" s="505"/>
      <c r="X215" s="20"/>
      <c r="Y215" s="505"/>
      <c r="Z215" s="1467" t="s">
        <v>943</v>
      </c>
      <c r="AA215" s="1223" t="s">
        <v>569</v>
      </c>
      <c r="AB215" s="1223" t="s">
        <v>141</v>
      </c>
      <c r="AC215" s="1408" t="s">
        <v>938</v>
      </c>
      <c r="AD215" s="1223" t="s">
        <v>570</v>
      </c>
      <c r="AE215" s="2963" t="s">
        <v>567</v>
      </c>
      <c r="AH215" s="938"/>
      <c r="AP215" s="938"/>
      <c r="AQ215" s="938"/>
      <c r="AW215" s="445"/>
      <c r="AX215" s="445"/>
      <c r="AY215" s="445"/>
      <c r="BA215" s="378"/>
      <c r="BB215" s="938"/>
      <c r="BF215" s="2977"/>
      <c r="BG215" s="2977"/>
      <c r="BH215" s="2977"/>
      <c r="BI215" s="2977"/>
      <c r="BJ215" s="2977"/>
      <c r="BK215" s="2977"/>
    </row>
    <row r="216" spans="1:63" ht="30" customHeight="1" x14ac:dyDescent="0.25">
      <c r="A216" s="2924"/>
      <c r="B216" s="938"/>
      <c r="C216" s="938"/>
      <c r="D216" s="3027"/>
      <c r="E216" s="1713"/>
      <c r="F216" s="1166"/>
      <c r="G216" s="200"/>
      <c r="H216" s="3024" t="s">
        <v>985</v>
      </c>
      <c r="I216" s="2269"/>
      <c r="J216" s="2269"/>
      <c r="K216" s="2269"/>
      <c r="L216" s="2269"/>
      <c r="M216" s="3025"/>
      <c r="N216" s="951" t="s">
        <v>152</v>
      </c>
      <c r="O216" s="952"/>
      <c r="P216" s="952"/>
      <c r="Q216" s="952"/>
      <c r="R216" s="952"/>
      <c r="S216" s="952"/>
      <c r="T216" s="1075"/>
      <c r="U216" s="938"/>
      <c r="V216" s="3027"/>
      <c r="W216" s="20"/>
      <c r="X216" s="20"/>
      <c r="Y216" s="20"/>
      <c r="Z216" s="1075"/>
      <c r="AA216" s="938"/>
      <c r="AB216" s="938"/>
      <c r="AC216" s="1289"/>
      <c r="AD216" s="938"/>
      <c r="AE216" s="2964"/>
      <c r="AH216" s="938"/>
      <c r="AP216" s="938"/>
      <c r="AQ216" s="938"/>
      <c r="AW216" s="445"/>
      <c r="AX216" s="445"/>
      <c r="AY216" s="445"/>
      <c r="BA216" s="938"/>
      <c r="BB216" s="938"/>
      <c r="BF216" s="2270"/>
      <c r="BG216" s="2270"/>
      <c r="BH216" s="2270"/>
      <c r="BI216" s="2270"/>
      <c r="BJ216" s="2270"/>
      <c r="BK216" s="2270"/>
    </row>
    <row r="217" spans="1:63" ht="30" customHeight="1" x14ac:dyDescent="0.3">
      <c r="A217" s="2914" t="s">
        <v>981</v>
      </c>
      <c r="B217" s="1289"/>
      <c r="C217" s="938"/>
      <c r="D217" s="3027"/>
      <c r="E217" s="1713"/>
      <c r="F217" s="1166"/>
      <c r="G217" s="20"/>
      <c r="H217" s="986" t="s">
        <v>1002</v>
      </c>
      <c r="I217" s="987"/>
      <c r="J217" s="987"/>
      <c r="K217" s="987"/>
      <c r="L217" s="987"/>
      <c r="M217" s="988"/>
      <c r="N217" s="963" t="s">
        <v>575</v>
      </c>
      <c r="O217" s="957"/>
      <c r="P217" s="957"/>
      <c r="Q217" s="957"/>
      <c r="R217" s="957"/>
      <c r="S217" s="958"/>
      <c r="T217" s="1075"/>
      <c r="U217" s="938"/>
      <c r="V217" s="3027"/>
      <c r="W217" s="20"/>
      <c r="X217" s="20"/>
      <c r="Y217" s="20"/>
      <c r="Z217" s="1075"/>
      <c r="AA217" s="938"/>
      <c r="AB217" s="938"/>
      <c r="AC217" s="1289"/>
      <c r="AD217" s="938"/>
      <c r="AE217" s="2964"/>
      <c r="AH217" s="938"/>
      <c r="AP217" s="938"/>
      <c r="AQ217" s="938"/>
      <c r="AT217" s="2977"/>
      <c r="AU217" s="2977"/>
      <c r="AV217" s="2977"/>
      <c r="AW217" s="2977"/>
      <c r="AX217" s="2977"/>
      <c r="AY217" s="2977"/>
      <c r="BA217" s="938"/>
      <c r="BB217" s="938"/>
      <c r="BF217" s="2977"/>
      <c r="BG217" s="2977"/>
      <c r="BH217" s="2977"/>
      <c r="BI217" s="2977"/>
      <c r="BJ217" s="2977"/>
      <c r="BK217" s="2977"/>
    </row>
    <row r="218" spans="1:63" ht="30" customHeight="1" x14ac:dyDescent="0.25">
      <c r="A218" s="2914"/>
      <c r="B218" s="1290"/>
      <c r="C218" s="938"/>
      <c r="D218" s="3028"/>
      <c r="E218" s="1714"/>
      <c r="F218" s="1397"/>
      <c r="G218" s="470"/>
      <c r="H218" s="3024" t="s">
        <v>985</v>
      </c>
      <c r="I218" s="2269"/>
      <c r="J218" s="2269"/>
      <c r="K218" s="2269"/>
      <c r="L218" s="2269"/>
      <c r="M218" s="3025"/>
      <c r="N218" s="951" t="s">
        <v>152</v>
      </c>
      <c r="O218" s="952"/>
      <c r="P218" s="952"/>
      <c r="Q218" s="952"/>
      <c r="R218" s="952"/>
      <c r="S218" s="952"/>
      <c r="T218" s="1265"/>
      <c r="U218" s="938"/>
      <c r="V218" s="3028"/>
      <c r="W218" s="20"/>
      <c r="X218" s="20"/>
      <c r="Y218" s="20"/>
      <c r="Z218" s="1265"/>
      <c r="AA218" s="938"/>
      <c r="AB218" s="1053"/>
      <c r="AC218" s="1290"/>
      <c r="AD218" s="938"/>
      <c r="AE218" s="3045"/>
      <c r="AH218" s="938"/>
      <c r="AP218" s="938"/>
      <c r="AQ218" s="938"/>
      <c r="AT218" s="2270"/>
      <c r="AU218" s="2270"/>
      <c r="AV218" s="2270"/>
      <c r="AW218" s="2270"/>
      <c r="AX218" s="2270"/>
      <c r="AY218" s="2270"/>
      <c r="BA218" s="938"/>
      <c r="BB218" s="938"/>
      <c r="BF218" s="2270"/>
      <c r="BG218" s="2270"/>
      <c r="BH218" s="2270"/>
      <c r="BI218" s="2270"/>
      <c r="BJ218" s="2270"/>
      <c r="BK218" s="2270"/>
    </row>
    <row r="219" spans="1:63" ht="30" customHeight="1" x14ac:dyDescent="0.3">
      <c r="A219" s="2923" t="s">
        <v>982</v>
      </c>
      <c r="B219" s="963" t="s">
        <v>575</v>
      </c>
      <c r="C219" s="957"/>
      <c r="D219" s="957"/>
      <c r="E219" s="957"/>
      <c r="F219" s="957"/>
      <c r="G219" s="957"/>
      <c r="H219" s="986" t="s">
        <v>1002</v>
      </c>
      <c r="I219" s="987"/>
      <c r="J219" s="987"/>
      <c r="K219" s="987"/>
      <c r="L219" s="987"/>
      <c r="M219" s="988"/>
      <c r="N219" s="1422"/>
      <c r="O219" s="1165"/>
      <c r="P219" s="3021"/>
      <c r="Q219" s="1408" t="s">
        <v>940</v>
      </c>
      <c r="R219" s="1223" t="s">
        <v>570</v>
      </c>
      <c r="S219" s="1223" t="s">
        <v>735</v>
      </c>
      <c r="T219" s="963" t="s">
        <v>943</v>
      </c>
      <c r="U219" s="957"/>
      <c r="V219" s="957"/>
      <c r="W219" s="957"/>
      <c r="X219" s="957"/>
      <c r="Y219" s="958"/>
      <c r="Z219" s="963" t="s">
        <v>943</v>
      </c>
      <c r="AA219" s="957"/>
      <c r="AB219" s="957"/>
      <c r="AC219" s="957"/>
      <c r="AD219" s="957"/>
      <c r="AE219" s="958"/>
      <c r="AH219" s="2977"/>
      <c r="AI219" s="2977"/>
      <c r="AJ219" s="2977"/>
      <c r="AK219" s="2977"/>
      <c r="AL219" s="2977"/>
      <c r="AM219" s="2977"/>
      <c r="AN219" s="378"/>
      <c r="AO219" s="938"/>
      <c r="AP219" s="938"/>
      <c r="AQ219" s="938"/>
      <c r="AT219" s="938"/>
      <c r="AU219" s="938"/>
      <c r="AV219" s="1394"/>
      <c r="AW219" s="938"/>
      <c r="AX219" s="938"/>
      <c r="AY219" s="938"/>
      <c r="AZ219" s="938"/>
      <c r="BA219" s="938"/>
      <c r="BB219" s="938"/>
      <c r="BC219" s="938"/>
      <c r="BD219" s="938"/>
      <c r="BE219" s="1394"/>
      <c r="BF219" s="2977"/>
      <c r="BG219" s="2977"/>
      <c r="BH219" s="2977"/>
      <c r="BI219" s="2977"/>
      <c r="BJ219" s="2977"/>
      <c r="BK219" s="2977"/>
    </row>
    <row r="220" spans="1:63" ht="30" customHeight="1" x14ac:dyDescent="0.25">
      <c r="A220" s="2914"/>
      <c r="B220" s="951" t="s">
        <v>152</v>
      </c>
      <c r="C220" s="952"/>
      <c r="D220" s="952"/>
      <c r="E220" s="952"/>
      <c r="F220" s="952"/>
      <c r="G220" s="952"/>
      <c r="H220" s="3024" t="s">
        <v>985</v>
      </c>
      <c r="I220" s="2269"/>
      <c r="J220" s="2269"/>
      <c r="K220" s="2269"/>
      <c r="L220" s="2269"/>
      <c r="M220" s="3025"/>
      <c r="N220" s="1423"/>
      <c r="O220" s="1166"/>
      <c r="P220" s="3022"/>
      <c r="Q220" s="1289"/>
      <c r="R220" s="938"/>
      <c r="S220" s="938"/>
      <c r="T220" s="951" t="s">
        <v>152</v>
      </c>
      <c r="U220" s="952"/>
      <c r="V220" s="952"/>
      <c r="W220" s="952"/>
      <c r="X220" s="952"/>
      <c r="Y220" s="952"/>
      <c r="Z220" s="951" t="s">
        <v>152</v>
      </c>
      <c r="AA220" s="952"/>
      <c r="AB220" s="952"/>
      <c r="AC220" s="952"/>
      <c r="AD220" s="952"/>
      <c r="AE220" s="953"/>
      <c r="AH220" s="2270"/>
      <c r="AI220" s="2270"/>
      <c r="AJ220" s="2270"/>
      <c r="AK220" s="2270"/>
      <c r="AL220" s="2270"/>
      <c r="AM220" s="2270"/>
      <c r="AN220" s="938"/>
      <c r="AO220" s="938"/>
      <c r="AT220" s="938"/>
      <c r="AU220" s="938"/>
      <c r="AV220" s="1394"/>
      <c r="AW220" s="938"/>
      <c r="AX220" s="938"/>
      <c r="AY220" s="938"/>
      <c r="AZ220" s="938"/>
      <c r="BA220" s="938"/>
      <c r="BB220" s="938"/>
      <c r="BC220" s="938"/>
      <c r="BD220" s="938"/>
      <c r="BE220" s="1394"/>
      <c r="BF220" s="2270"/>
      <c r="BG220" s="2270"/>
      <c r="BH220" s="2270"/>
      <c r="BI220" s="2270"/>
      <c r="BJ220" s="2270"/>
      <c r="BK220" s="2270"/>
    </row>
    <row r="221" spans="1:63" ht="30" customHeight="1" x14ac:dyDescent="0.3">
      <c r="A221" s="2923" t="s">
        <v>7</v>
      </c>
      <c r="B221" s="963" t="s">
        <v>940</v>
      </c>
      <c r="C221" s="957"/>
      <c r="D221" s="957"/>
      <c r="E221" s="957"/>
      <c r="F221" s="957"/>
      <c r="G221" s="957"/>
      <c r="H221" s="986" t="s">
        <v>1002</v>
      </c>
      <c r="I221" s="987"/>
      <c r="J221" s="987"/>
      <c r="K221" s="987"/>
      <c r="L221" s="987"/>
      <c r="M221" s="988"/>
      <c r="N221" s="1423"/>
      <c r="O221" s="1166"/>
      <c r="P221" s="3022"/>
      <c r="Q221" s="1289"/>
      <c r="R221" s="938"/>
      <c r="S221" s="938"/>
      <c r="T221" s="963" t="s">
        <v>935</v>
      </c>
      <c r="U221" s="957"/>
      <c r="V221" s="957"/>
      <c r="W221" s="957"/>
      <c r="X221" s="957"/>
      <c r="Y221" s="958"/>
      <c r="Z221" s="963" t="s">
        <v>935</v>
      </c>
      <c r="AA221" s="957"/>
      <c r="AB221" s="957"/>
      <c r="AC221" s="957"/>
      <c r="AD221" s="957"/>
      <c r="AE221" s="958"/>
      <c r="AH221" s="2977"/>
      <c r="AI221" s="2977"/>
      <c r="AJ221" s="2977"/>
      <c r="AK221" s="2977"/>
      <c r="AL221" s="2977"/>
      <c r="AM221" s="2977"/>
      <c r="AN221" s="938"/>
      <c r="AO221" s="938"/>
      <c r="AT221" s="938"/>
      <c r="AU221" s="938"/>
      <c r="AV221" s="1394"/>
      <c r="AW221" s="938"/>
      <c r="AX221" s="938"/>
      <c r="AY221" s="938"/>
      <c r="AZ221" s="938"/>
      <c r="BA221" s="938"/>
      <c r="BB221" s="938"/>
      <c r="BC221" s="938"/>
      <c r="BD221" s="938"/>
      <c r="BE221" s="1394"/>
      <c r="BF221" s="2977"/>
      <c r="BG221" s="2977"/>
      <c r="BH221" s="2977"/>
      <c r="BI221" s="2977"/>
      <c r="BJ221" s="2977"/>
      <c r="BK221" s="2977"/>
    </row>
    <row r="222" spans="1:63" ht="30" customHeight="1" x14ac:dyDescent="0.25">
      <c r="A222" s="2924"/>
      <c r="B222" s="951" t="s">
        <v>152</v>
      </c>
      <c r="C222" s="952"/>
      <c r="D222" s="952"/>
      <c r="E222" s="952"/>
      <c r="F222" s="952"/>
      <c r="G222" s="953"/>
      <c r="H222" s="3024" t="s">
        <v>985</v>
      </c>
      <c r="I222" s="2269"/>
      <c r="J222" s="2269"/>
      <c r="K222" s="2269"/>
      <c r="L222" s="2269"/>
      <c r="M222" s="3025"/>
      <c r="N222" s="1536"/>
      <c r="O222" s="1166"/>
      <c r="P222" s="3023"/>
      <c r="Q222" s="1290"/>
      <c r="R222" s="938"/>
      <c r="S222" s="1053"/>
      <c r="T222" s="951" t="s">
        <v>152</v>
      </c>
      <c r="U222" s="952"/>
      <c r="V222" s="952"/>
      <c r="W222" s="952"/>
      <c r="X222" s="952"/>
      <c r="Y222" s="952"/>
      <c r="Z222" s="951" t="s">
        <v>152</v>
      </c>
      <c r="AA222" s="952"/>
      <c r="AB222" s="952"/>
      <c r="AC222" s="952"/>
      <c r="AD222" s="952"/>
      <c r="AE222" s="953"/>
      <c r="AH222" s="2270"/>
      <c r="AI222" s="2270"/>
      <c r="AJ222" s="2270"/>
      <c r="AK222" s="2270"/>
      <c r="AL222" s="2270"/>
      <c r="AM222" s="2270"/>
      <c r="AN222" s="938"/>
      <c r="AO222" s="938"/>
      <c r="AT222" s="938"/>
      <c r="AU222" s="938"/>
      <c r="AV222" s="1394"/>
      <c r="AW222" s="938"/>
      <c r="AX222" s="938"/>
      <c r="AY222" s="938"/>
      <c r="AZ222" s="938"/>
      <c r="BA222" s="938"/>
      <c r="BB222" s="938"/>
      <c r="BC222" s="938"/>
      <c r="BD222" s="938"/>
      <c r="BE222" s="1394"/>
      <c r="BF222" s="2270"/>
      <c r="BG222" s="2270"/>
      <c r="BH222" s="2270"/>
      <c r="BI222" s="2270"/>
      <c r="BJ222" s="2270"/>
      <c r="BK222" s="2270"/>
    </row>
    <row r="223" spans="1:63" ht="30" customHeight="1" x14ac:dyDescent="0.3">
      <c r="A223" s="2914" t="s">
        <v>8</v>
      </c>
      <c r="B223" s="1722"/>
      <c r="C223" s="1165"/>
      <c r="D223" s="3021"/>
      <c r="E223" s="1408" t="s">
        <v>575</v>
      </c>
      <c r="F223" s="1223" t="s">
        <v>755</v>
      </c>
      <c r="G223" s="3026" t="s">
        <v>735</v>
      </c>
      <c r="H223" s="986" t="s">
        <v>1002</v>
      </c>
      <c r="I223" s="987"/>
      <c r="J223" s="987"/>
      <c r="K223" s="987"/>
      <c r="L223" s="987"/>
      <c r="M223" s="988"/>
      <c r="N223" s="963" t="s">
        <v>938</v>
      </c>
      <c r="O223" s="957"/>
      <c r="P223" s="957"/>
      <c r="Q223" s="957"/>
      <c r="R223" s="957"/>
      <c r="S223" s="958"/>
      <c r="T223" s="1467" t="s">
        <v>935</v>
      </c>
      <c r="U223" s="1223" t="s">
        <v>569</v>
      </c>
      <c r="V223" s="3026" t="s">
        <v>141</v>
      </c>
      <c r="W223" s="20"/>
      <c r="X223" s="20"/>
      <c r="Y223" s="20"/>
      <c r="Z223" s="1467" t="s">
        <v>938</v>
      </c>
      <c r="AA223" s="1223" t="s">
        <v>569</v>
      </c>
      <c r="AB223" s="3026" t="s">
        <v>567</v>
      </c>
      <c r="AC223" s="1408" t="s">
        <v>943</v>
      </c>
      <c r="AD223" s="1223" t="s">
        <v>570</v>
      </c>
      <c r="AE223" s="2963" t="s">
        <v>141</v>
      </c>
      <c r="AN223" s="938"/>
      <c r="AO223" s="938"/>
      <c r="AR223" s="2977"/>
      <c r="AS223" s="2977"/>
      <c r="AT223" s="2977"/>
      <c r="AU223" s="2977"/>
      <c r="AV223" s="2977"/>
      <c r="AW223" s="2977"/>
      <c r="BD223" s="378"/>
      <c r="BE223" s="938"/>
      <c r="BF223" s="938"/>
      <c r="BG223" s="938"/>
      <c r="BH223" s="938"/>
      <c r="BI223" s="938"/>
      <c r="BJ223" s="938"/>
      <c r="BK223" s="1394"/>
    </row>
    <row r="224" spans="1:63" ht="30" customHeight="1" x14ac:dyDescent="0.25">
      <c r="A224" s="2914"/>
      <c r="B224" s="1713"/>
      <c r="C224" s="1166"/>
      <c r="D224" s="3022"/>
      <c r="E224" s="1289"/>
      <c r="F224" s="938"/>
      <c r="G224" s="3027"/>
      <c r="H224" s="3024" t="s">
        <v>985</v>
      </c>
      <c r="I224" s="2269"/>
      <c r="J224" s="2269"/>
      <c r="K224" s="2269"/>
      <c r="L224" s="2269"/>
      <c r="M224" s="3025"/>
      <c r="N224" s="951" t="s">
        <v>152</v>
      </c>
      <c r="O224" s="952"/>
      <c r="P224" s="952"/>
      <c r="Q224" s="952"/>
      <c r="R224" s="952"/>
      <c r="S224" s="952"/>
      <c r="T224" s="1075"/>
      <c r="U224" s="938"/>
      <c r="V224" s="3027"/>
      <c r="W224" s="20"/>
      <c r="X224" s="20"/>
      <c r="Y224" s="20"/>
      <c r="Z224" s="1075"/>
      <c r="AA224" s="938"/>
      <c r="AB224" s="3027"/>
      <c r="AC224" s="1289"/>
      <c r="AD224" s="938"/>
      <c r="AE224" s="2964"/>
      <c r="AN224" s="938"/>
      <c r="AO224" s="938"/>
      <c r="AR224" s="2270"/>
      <c r="AS224" s="2270"/>
      <c r="AT224" s="2270"/>
      <c r="AU224" s="2270"/>
      <c r="AV224" s="2270"/>
      <c r="AW224" s="2270"/>
      <c r="BD224" s="938"/>
      <c r="BE224" s="938"/>
      <c r="BF224" s="938"/>
      <c r="BG224" s="938"/>
      <c r="BH224" s="938"/>
      <c r="BI224" s="938"/>
      <c r="BJ224" s="938"/>
      <c r="BK224" s="1394"/>
    </row>
    <row r="225" spans="1:63" ht="30" customHeight="1" x14ac:dyDescent="0.3">
      <c r="A225" s="2923" t="s">
        <v>9</v>
      </c>
      <c r="B225" s="1713"/>
      <c r="C225" s="1166"/>
      <c r="D225" s="3022"/>
      <c r="E225" s="1289"/>
      <c r="F225" s="938"/>
      <c r="G225" s="3027"/>
      <c r="H225" s="1062"/>
      <c r="I225" s="1020"/>
      <c r="J225" s="1020"/>
      <c r="K225" s="1020"/>
      <c r="L225" s="1020"/>
      <c r="M225" s="1063"/>
      <c r="N225" s="963" t="s">
        <v>938</v>
      </c>
      <c r="O225" s="957"/>
      <c r="P225" s="957"/>
      <c r="Q225" s="957"/>
      <c r="R225" s="957"/>
      <c r="S225" s="958"/>
      <c r="T225" s="1075"/>
      <c r="U225" s="938"/>
      <c r="V225" s="3027"/>
      <c r="W225" s="20"/>
      <c r="X225" s="20"/>
      <c r="Y225" s="20"/>
      <c r="Z225" s="1075"/>
      <c r="AA225" s="938"/>
      <c r="AB225" s="3027"/>
      <c r="AC225" s="1289"/>
      <c r="AD225" s="938"/>
      <c r="AE225" s="2964"/>
      <c r="AR225" s="2977"/>
      <c r="AS225" s="2977"/>
      <c r="AT225" s="2977"/>
      <c r="AU225" s="2977"/>
      <c r="AV225" s="2977"/>
      <c r="AW225" s="2977"/>
      <c r="BD225" s="938"/>
      <c r="BE225" s="938"/>
      <c r="BF225" s="938"/>
      <c r="BG225" s="938"/>
      <c r="BH225" s="938"/>
      <c r="BI225" s="938"/>
      <c r="BJ225" s="938"/>
      <c r="BK225" s="1394"/>
    </row>
    <row r="226" spans="1:63" ht="30" customHeight="1" thickBot="1" x14ac:dyDescent="0.3">
      <c r="A226" s="3029"/>
      <c r="B226" s="1714"/>
      <c r="C226" s="1397"/>
      <c r="D226" s="3023"/>
      <c r="E226" s="1290"/>
      <c r="F226" s="1053"/>
      <c r="G226" s="3028"/>
      <c r="H226" s="2180"/>
      <c r="I226" s="1091"/>
      <c r="J226" s="1091"/>
      <c r="K226" s="1091"/>
      <c r="L226" s="1091"/>
      <c r="M226" s="1092"/>
      <c r="N226" s="951" t="s">
        <v>152</v>
      </c>
      <c r="O226" s="952"/>
      <c r="P226" s="952"/>
      <c r="Q226" s="952"/>
      <c r="R226" s="952"/>
      <c r="S226" s="952"/>
      <c r="T226" s="1265"/>
      <c r="U226" s="938"/>
      <c r="V226" s="3028"/>
      <c r="W226" s="20"/>
      <c r="X226" s="20"/>
      <c r="Y226" s="20"/>
      <c r="Z226" s="1265"/>
      <c r="AA226" s="938"/>
      <c r="AB226" s="3028"/>
      <c r="AC226" s="1290"/>
      <c r="AD226" s="938"/>
      <c r="AE226" s="2965"/>
      <c r="AR226" s="2270"/>
      <c r="AS226" s="2270"/>
      <c r="AT226" s="2270"/>
      <c r="AU226" s="2270"/>
      <c r="AV226" s="2270"/>
      <c r="AW226" s="2270"/>
      <c r="BD226" s="938"/>
      <c r="BE226" s="938"/>
      <c r="BF226" s="938"/>
      <c r="BG226" s="938"/>
      <c r="BH226" s="938"/>
      <c r="BI226" s="938"/>
      <c r="BJ226" s="938"/>
      <c r="BK226" s="1394"/>
    </row>
    <row r="227" spans="1:63" ht="18" thickBot="1" x14ac:dyDescent="0.3">
      <c r="A227" s="19" t="s">
        <v>1</v>
      </c>
      <c r="B227" s="975" t="s">
        <v>2</v>
      </c>
      <c r="C227" s="976"/>
      <c r="D227" s="976"/>
      <c r="E227" s="976"/>
      <c r="F227" s="976"/>
      <c r="G227" s="977"/>
      <c r="H227" s="975" t="s">
        <v>3</v>
      </c>
      <c r="I227" s="976"/>
      <c r="J227" s="976"/>
      <c r="K227" s="976"/>
      <c r="L227" s="976"/>
      <c r="M227" s="977"/>
      <c r="N227" s="975" t="s">
        <v>135</v>
      </c>
      <c r="O227" s="976"/>
      <c r="P227" s="976"/>
      <c r="Q227" s="976"/>
      <c r="R227" s="976"/>
      <c r="S227" s="977"/>
      <c r="T227" s="975" t="s">
        <v>4</v>
      </c>
      <c r="U227" s="976"/>
      <c r="V227" s="976"/>
      <c r="W227" s="976"/>
      <c r="X227" s="976"/>
      <c r="Y227" s="977"/>
      <c r="Z227" s="975" t="s">
        <v>5</v>
      </c>
      <c r="AA227" s="976"/>
      <c r="AB227" s="976"/>
      <c r="AC227" s="976"/>
      <c r="AD227" s="976"/>
      <c r="AE227" s="977"/>
    </row>
    <row r="228" spans="1:63" ht="30" customHeight="1" x14ac:dyDescent="0.3">
      <c r="A228" s="2978" t="s">
        <v>983</v>
      </c>
      <c r="B228" s="1153"/>
      <c r="C228" s="1154"/>
      <c r="D228" s="1154"/>
      <c r="E228" s="1154"/>
      <c r="F228" s="1154"/>
      <c r="G228" s="1154"/>
      <c r="H228" s="456"/>
      <c r="I228" s="457"/>
      <c r="J228" s="457"/>
      <c r="K228" s="457"/>
      <c r="L228" s="457"/>
      <c r="M228" s="458"/>
      <c r="N228" s="1153"/>
      <c r="O228" s="1154"/>
      <c r="P228" s="1154"/>
      <c r="Q228" s="1154"/>
      <c r="R228" s="1154"/>
      <c r="S228" s="1455"/>
      <c r="T228" s="1153"/>
      <c r="U228" s="1154"/>
      <c r="V228" s="1154"/>
      <c r="W228" s="1154"/>
      <c r="X228" s="1154"/>
      <c r="Y228" s="1455"/>
      <c r="Z228" s="1153"/>
      <c r="AA228" s="1154"/>
      <c r="AB228" s="1154"/>
      <c r="AC228" s="1154"/>
      <c r="AD228" s="1154"/>
      <c r="AE228" s="1455"/>
      <c r="AH228" s="2977"/>
      <c r="AI228" s="2977"/>
      <c r="AJ228" s="2977"/>
      <c r="AK228" s="2977"/>
      <c r="AL228" s="2977"/>
      <c r="AM228" s="2977"/>
      <c r="AN228" s="378"/>
      <c r="AT228" s="938"/>
      <c r="AU228" s="938"/>
      <c r="AV228" s="1394"/>
      <c r="AW228" s="938"/>
      <c r="AX228" s="938"/>
      <c r="AY228" s="938"/>
      <c r="AZ228" s="938"/>
      <c r="BA228" s="938"/>
      <c r="BB228" s="938"/>
      <c r="BC228" s="938"/>
      <c r="BD228" s="938"/>
      <c r="BE228" s="1394"/>
      <c r="BF228" s="2977"/>
      <c r="BG228" s="2977"/>
      <c r="BH228" s="2977"/>
      <c r="BI228" s="2977"/>
      <c r="BJ228" s="2977"/>
      <c r="BK228" s="2977"/>
    </row>
    <row r="229" spans="1:63" ht="30" customHeight="1" x14ac:dyDescent="0.25">
      <c r="A229" s="2914"/>
      <c r="B229" s="1106"/>
      <c r="C229" s="1107"/>
      <c r="D229" s="1107"/>
      <c r="E229" s="1107"/>
      <c r="F229" s="1107"/>
      <c r="G229" s="1107"/>
      <c r="H229" s="1467" t="s">
        <v>935</v>
      </c>
      <c r="I229" s="1223" t="s">
        <v>570</v>
      </c>
      <c r="J229" s="3026" t="s">
        <v>789</v>
      </c>
      <c r="K229" s="137"/>
      <c r="L229" s="137"/>
      <c r="M229" s="459"/>
      <c r="N229" s="1106"/>
      <c r="O229" s="1107"/>
      <c r="P229" s="1107"/>
      <c r="Q229" s="1107"/>
      <c r="R229" s="1107"/>
      <c r="S229" s="2917"/>
      <c r="T229" s="1106"/>
      <c r="U229" s="1107"/>
      <c r="V229" s="1107"/>
      <c r="W229" s="1107"/>
      <c r="X229" s="1107"/>
      <c r="Y229" s="2917"/>
      <c r="Z229" s="1106"/>
      <c r="AA229" s="1107"/>
      <c r="AB229" s="1107"/>
      <c r="AC229" s="1107"/>
      <c r="AD229" s="1107"/>
      <c r="AE229" s="2917"/>
      <c r="AH229" s="2270"/>
      <c r="AI229" s="2270"/>
      <c r="AJ229" s="2270"/>
      <c r="AK229" s="2270"/>
      <c r="AL229" s="2270"/>
      <c r="AM229" s="2270"/>
      <c r="AT229" s="938"/>
      <c r="AU229" s="938"/>
      <c r="AV229" s="1394"/>
      <c r="AW229" s="938"/>
      <c r="AX229" s="938"/>
      <c r="AY229" s="938"/>
      <c r="AZ229" s="938"/>
      <c r="BA229" s="938"/>
      <c r="BB229" s="938"/>
      <c r="BC229" s="938"/>
      <c r="BD229" s="938"/>
      <c r="BE229" s="1394"/>
      <c r="BF229" s="2270"/>
      <c r="BG229" s="2270"/>
      <c r="BH229" s="2270"/>
      <c r="BI229" s="2270"/>
      <c r="BJ229" s="2270"/>
      <c r="BK229" s="2270"/>
    </row>
    <row r="230" spans="1:63" ht="30" customHeight="1" x14ac:dyDescent="0.3">
      <c r="A230" s="2923" t="s">
        <v>183</v>
      </c>
      <c r="B230" s="1153"/>
      <c r="C230" s="1154"/>
      <c r="D230" s="1154"/>
      <c r="E230" s="1154"/>
      <c r="F230" s="1154"/>
      <c r="G230" s="1154"/>
      <c r="H230" s="1075"/>
      <c r="I230" s="938"/>
      <c r="J230" s="3027"/>
      <c r="K230" s="137"/>
      <c r="L230" s="137"/>
      <c r="M230" s="459"/>
      <c r="N230" s="1153"/>
      <c r="O230" s="1154"/>
      <c r="P230" s="1154"/>
      <c r="Q230" s="1154"/>
      <c r="R230" s="1154"/>
      <c r="S230" s="1455"/>
      <c r="T230" s="1153"/>
      <c r="U230" s="1154"/>
      <c r="V230" s="1154"/>
      <c r="W230" s="1154"/>
      <c r="X230" s="1154"/>
      <c r="Y230" s="1455"/>
      <c r="Z230" s="1153"/>
      <c r="AA230" s="1154"/>
      <c r="AB230" s="1154"/>
      <c r="AC230" s="1154"/>
      <c r="AD230" s="1154"/>
      <c r="AE230" s="1455"/>
      <c r="AH230" s="2977"/>
      <c r="AI230" s="2977"/>
      <c r="AJ230" s="2977"/>
      <c r="AK230" s="2977"/>
      <c r="AL230" s="2977"/>
      <c r="AM230" s="2977"/>
      <c r="AT230" s="938"/>
      <c r="AU230" s="938"/>
      <c r="AV230" s="1394"/>
      <c r="AW230" s="938"/>
      <c r="AX230" s="938"/>
      <c r="AY230" s="938"/>
      <c r="AZ230" s="938"/>
      <c r="BA230" s="938"/>
      <c r="BB230" s="938"/>
      <c r="BC230" s="938"/>
      <c r="BD230" s="938"/>
      <c r="BE230" s="1394"/>
      <c r="BF230" s="2977"/>
      <c r="BG230" s="2977"/>
      <c r="BH230" s="2977"/>
      <c r="BI230" s="2977"/>
      <c r="BJ230" s="2977"/>
      <c r="BK230" s="2977"/>
    </row>
    <row r="231" spans="1:63" ht="30" customHeight="1" x14ac:dyDescent="0.25">
      <c r="A231" s="2924"/>
      <c r="B231" s="1106"/>
      <c r="C231" s="1107"/>
      <c r="D231" s="1107"/>
      <c r="E231" s="1107"/>
      <c r="F231" s="1107"/>
      <c r="G231" s="1107"/>
      <c r="H231" s="1075"/>
      <c r="I231" s="938"/>
      <c r="J231" s="3027"/>
      <c r="K231" s="137"/>
      <c r="L231" s="137"/>
      <c r="M231" s="459"/>
      <c r="N231" s="1106"/>
      <c r="O231" s="1107"/>
      <c r="P231" s="1107"/>
      <c r="Q231" s="1107"/>
      <c r="R231" s="1107"/>
      <c r="S231" s="2917"/>
      <c r="T231" s="1106"/>
      <c r="U231" s="1107"/>
      <c r="V231" s="1107"/>
      <c r="W231" s="1107"/>
      <c r="X231" s="1107"/>
      <c r="Y231" s="2917"/>
      <c r="Z231" s="1106"/>
      <c r="AA231" s="1107"/>
      <c r="AB231" s="1107"/>
      <c r="AC231" s="1107"/>
      <c r="AD231" s="1107"/>
      <c r="AE231" s="2917"/>
      <c r="AH231" s="2270"/>
      <c r="AI231" s="2270"/>
      <c r="AJ231" s="2270"/>
      <c r="AK231" s="2270"/>
      <c r="AL231" s="2270"/>
      <c r="AM231" s="2270"/>
      <c r="AT231" s="938"/>
      <c r="AU231" s="938"/>
      <c r="AV231" s="1394"/>
      <c r="AW231" s="938"/>
      <c r="AX231" s="938"/>
      <c r="AY231" s="938"/>
      <c r="AZ231" s="938"/>
      <c r="BA231" s="938"/>
      <c r="BB231" s="938"/>
      <c r="BC231" s="938"/>
      <c r="BD231" s="938"/>
      <c r="BE231" s="1394"/>
      <c r="BF231" s="2270"/>
      <c r="BG231" s="2270"/>
      <c r="BH231" s="2270"/>
      <c r="BI231" s="2270"/>
      <c r="BJ231" s="2270"/>
      <c r="BK231" s="2270"/>
    </row>
    <row r="232" spans="1:63" ht="30" customHeight="1" x14ac:dyDescent="0.3">
      <c r="A232" s="2914" t="s">
        <v>182</v>
      </c>
      <c r="B232" s="1153"/>
      <c r="C232" s="1154"/>
      <c r="D232" s="1154"/>
      <c r="E232" s="1154"/>
      <c r="F232" s="1154"/>
      <c r="G232" s="1154"/>
      <c r="H232" s="1075"/>
      <c r="I232" s="938"/>
      <c r="J232" s="3027"/>
      <c r="K232" s="137"/>
      <c r="L232" s="137"/>
      <c r="M232" s="459"/>
      <c r="N232" s="1153"/>
      <c r="O232" s="1154"/>
      <c r="P232" s="1154"/>
      <c r="Q232" s="1154"/>
      <c r="R232" s="1154"/>
      <c r="S232" s="1455"/>
      <c r="T232" s="1153"/>
      <c r="U232" s="1154"/>
      <c r="V232" s="1154"/>
      <c r="W232" s="1154"/>
      <c r="X232" s="1154"/>
      <c r="Y232" s="1455"/>
      <c r="Z232" s="1153"/>
      <c r="AA232" s="1154"/>
      <c r="AB232" s="1154"/>
      <c r="AC232" s="1154"/>
      <c r="AD232" s="1154"/>
      <c r="AE232" s="1455"/>
      <c r="AH232" s="2977"/>
      <c r="AI232" s="2977"/>
      <c r="AJ232" s="2977"/>
      <c r="AK232" s="2977"/>
      <c r="AL232" s="2977"/>
      <c r="AM232" s="2977"/>
      <c r="AN232" s="378"/>
      <c r="AO232" s="938"/>
      <c r="AT232" s="938"/>
      <c r="AU232" s="938"/>
      <c r="AV232" s="1394"/>
      <c r="AW232" s="938"/>
      <c r="AX232" s="938"/>
      <c r="AY232" s="938"/>
      <c r="AZ232" s="938"/>
      <c r="BA232" s="938"/>
      <c r="BB232" s="938"/>
      <c r="BC232" s="938"/>
      <c r="BD232" s="938"/>
      <c r="BE232" s="1394"/>
      <c r="BF232" s="2977"/>
      <c r="BG232" s="2977"/>
      <c r="BH232" s="2977"/>
      <c r="BI232" s="2977"/>
      <c r="BJ232" s="2977"/>
      <c r="BK232" s="2977"/>
    </row>
    <row r="233" spans="1:63" ht="30" customHeight="1" x14ac:dyDescent="0.25">
      <c r="A233" s="2914"/>
      <c r="B233" s="1106"/>
      <c r="C233" s="1107"/>
      <c r="D233" s="1107"/>
      <c r="E233" s="1107"/>
      <c r="F233" s="1107"/>
      <c r="G233" s="1107"/>
      <c r="H233" s="1075"/>
      <c r="I233" s="938"/>
      <c r="J233" s="3027"/>
      <c r="K233" s="137"/>
      <c r="L233" s="137"/>
      <c r="M233" s="459"/>
      <c r="N233" s="1106"/>
      <c r="O233" s="1107"/>
      <c r="P233" s="1107"/>
      <c r="Q233" s="1107"/>
      <c r="R233" s="1107"/>
      <c r="S233" s="2917"/>
      <c r="T233" s="1106"/>
      <c r="U233" s="1107"/>
      <c r="V233" s="1107"/>
      <c r="W233" s="1107"/>
      <c r="X233" s="1107"/>
      <c r="Y233" s="2917"/>
      <c r="Z233" s="1106"/>
      <c r="AA233" s="1107"/>
      <c r="AB233" s="1107"/>
      <c r="AC233" s="1107"/>
      <c r="AD233" s="1107"/>
      <c r="AE233" s="2917"/>
      <c r="AH233" s="2270"/>
      <c r="AI233" s="2270"/>
      <c r="AJ233" s="2270"/>
      <c r="AK233" s="2270"/>
      <c r="AL233" s="2270"/>
      <c r="AM233" s="2270"/>
      <c r="AN233" s="938"/>
      <c r="AO233" s="938"/>
      <c r="AT233" s="938"/>
      <c r="AU233" s="938"/>
      <c r="AV233" s="1394"/>
      <c r="AW233" s="938"/>
      <c r="AX233" s="938"/>
      <c r="AY233" s="938"/>
      <c r="AZ233" s="938"/>
      <c r="BA233" s="938"/>
      <c r="BB233" s="938"/>
      <c r="BC233" s="938"/>
      <c r="BD233" s="938"/>
      <c r="BE233" s="1394"/>
      <c r="BF233" s="2270"/>
      <c r="BG233" s="2270"/>
      <c r="BH233" s="2270"/>
      <c r="BI233" s="2270"/>
      <c r="BJ233" s="2270"/>
      <c r="BK233" s="2270"/>
    </row>
    <row r="234" spans="1:63" ht="30" customHeight="1" x14ac:dyDescent="0.3">
      <c r="A234" s="2923" t="s">
        <v>184</v>
      </c>
      <c r="B234" s="1153"/>
      <c r="C234" s="1154"/>
      <c r="D234" s="1154"/>
      <c r="E234" s="1154"/>
      <c r="F234" s="1154"/>
      <c r="G234" s="1154"/>
      <c r="H234" s="1265"/>
      <c r="I234" s="1053"/>
      <c r="J234" s="3027"/>
      <c r="K234" s="137"/>
      <c r="L234" s="137"/>
      <c r="M234" s="459"/>
      <c r="N234" s="1153"/>
      <c r="O234" s="1154"/>
      <c r="P234" s="1154"/>
      <c r="Q234" s="1154"/>
      <c r="R234" s="1154"/>
      <c r="S234" s="1455"/>
      <c r="T234" s="1153"/>
      <c r="U234" s="1154"/>
      <c r="V234" s="1154"/>
      <c r="W234" s="1154"/>
      <c r="X234" s="1154"/>
      <c r="Y234" s="1455"/>
      <c r="Z234" s="1153"/>
      <c r="AA234" s="1154"/>
      <c r="AB234" s="1154"/>
      <c r="AC234" s="1154"/>
      <c r="AD234" s="1154"/>
      <c r="AE234" s="1455"/>
      <c r="AH234" s="2977"/>
      <c r="AI234" s="2977"/>
      <c r="AJ234" s="2977"/>
      <c r="AK234" s="2977"/>
      <c r="AL234" s="2977"/>
      <c r="AM234" s="2977"/>
      <c r="AN234" s="938"/>
      <c r="AO234" s="938"/>
      <c r="AT234" s="938"/>
      <c r="AU234" s="938"/>
      <c r="AV234" s="1394"/>
      <c r="AW234" s="938"/>
      <c r="AX234" s="938"/>
      <c r="AY234" s="938"/>
      <c r="AZ234" s="938"/>
      <c r="BA234" s="938"/>
      <c r="BB234" s="938"/>
      <c r="BC234" s="938"/>
      <c r="BD234" s="938"/>
      <c r="BE234" s="1394"/>
      <c r="BF234" s="2977"/>
      <c r="BG234" s="2977"/>
      <c r="BH234" s="2977"/>
      <c r="BI234" s="2977"/>
      <c r="BJ234" s="2977"/>
      <c r="BK234" s="2977"/>
    </row>
    <row r="235" spans="1:63" ht="30" customHeight="1" x14ac:dyDescent="0.25">
      <c r="A235" s="2914"/>
      <c r="B235" s="1106"/>
      <c r="C235" s="1107"/>
      <c r="D235" s="1107"/>
      <c r="E235" s="1107"/>
      <c r="F235" s="1107"/>
      <c r="G235" s="1107"/>
      <c r="H235" s="136"/>
      <c r="I235" s="137"/>
      <c r="J235" s="157"/>
      <c r="K235" s="1408" t="s">
        <v>935</v>
      </c>
      <c r="L235" s="1223" t="s">
        <v>569</v>
      </c>
      <c r="M235" s="1223" t="s">
        <v>789</v>
      </c>
      <c r="N235" s="1106"/>
      <c r="O235" s="1107"/>
      <c r="P235" s="1107"/>
      <c r="Q235" s="1107"/>
      <c r="R235" s="1107"/>
      <c r="S235" s="2917"/>
      <c r="T235" s="1106"/>
      <c r="U235" s="1107"/>
      <c r="V235" s="1107"/>
      <c r="W235" s="1107"/>
      <c r="X235" s="1107"/>
      <c r="Y235" s="2917"/>
      <c r="Z235" s="1106"/>
      <c r="AA235" s="1107"/>
      <c r="AB235" s="1107"/>
      <c r="AC235" s="1107"/>
      <c r="AD235" s="1107"/>
      <c r="AE235" s="2917"/>
      <c r="AH235" s="2270"/>
      <c r="AI235" s="2270"/>
      <c r="AJ235" s="2270"/>
      <c r="AK235" s="2270"/>
      <c r="AL235" s="2270"/>
      <c r="AM235" s="2270"/>
      <c r="AN235" s="938"/>
      <c r="AO235" s="938"/>
      <c r="AT235" s="938"/>
      <c r="AU235" s="938"/>
      <c r="AV235" s="1394"/>
      <c r="AW235" s="938"/>
      <c r="AX235" s="938"/>
      <c r="AY235" s="938"/>
      <c r="AZ235" s="938"/>
      <c r="BA235" s="938"/>
      <c r="BB235" s="938"/>
      <c r="BC235" s="938"/>
      <c r="BD235" s="938"/>
      <c r="BE235" s="1394"/>
      <c r="BF235" s="2270"/>
      <c r="BG235" s="2270"/>
      <c r="BH235" s="2270"/>
      <c r="BI235" s="2270"/>
      <c r="BJ235" s="2270"/>
      <c r="BK235" s="2270"/>
    </row>
    <row r="236" spans="1:63" ht="30" customHeight="1" x14ac:dyDescent="0.3">
      <c r="A236" s="2923" t="s">
        <v>185</v>
      </c>
      <c r="B236" s="1153"/>
      <c r="C236" s="1154"/>
      <c r="D236" s="1154"/>
      <c r="E236" s="1154"/>
      <c r="F236" s="1154"/>
      <c r="G236" s="1154"/>
      <c r="H236" s="136"/>
      <c r="I236" s="137"/>
      <c r="J236" s="137"/>
      <c r="K236" s="1289"/>
      <c r="L236" s="938"/>
      <c r="M236" s="938"/>
      <c r="N236" s="1153"/>
      <c r="O236" s="1154"/>
      <c r="P236" s="1154"/>
      <c r="Q236" s="1154"/>
      <c r="R236" s="1154"/>
      <c r="S236" s="1455"/>
      <c r="T236" s="1153"/>
      <c r="U236" s="1154"/>
      <c r="V236" s="1154"/>
      <c r="W236" s="1154"/>
      <c r="X236" s="1154"/>
      <c r="Y236" s="1455"/>
      <c r="Z236" s="1153"/>
      <c r="AA236" s="1154"/>
      <c r="AB236" s="1154"/>
      <c r="AC236" s="1154"/>
      <c r="AD236" s="1154"/>
      <c r="AE236" s="1455"/>
      <c r="AN236" s="938"/>
      <c r="AO236" s="938"/>
      <c r="AR236" s="2977"/>
      <c r="AS236" s="2977"/>
      <c r="AT236" s="2977"/>
      <c r="AU236" s="2977"/>
      <c r="AV236" s="2977"/>
      <c r="AW236" s="2977"/>
      <c r="BD236" s="378"/>
      <c r="BE236" s="938"/>
      <c r="BF236" s="938"/>
      <c r="BG236" s="938"/>
      <c r="BH236" s="938"/>
      <c r="BI236" s="938"/>
      <c r="BJ236" s="938"/>
      <c r="BK236" s="1394"/>
    </row>
    <row r="237" spans="1:63" ht="30" customHeight="1" x14ac:dyDescent="0.25">
      <c r="A237" s="2914"/>
      <c r="B237" s="1106"/>
      <c r="C237" s="1107"/>
      <c r="D237" s="1107"/>
      <c r="E237" s="1107"/>
      <c r="F237" s="1107"/>
      <c r="G237" s="1107"/>
      <c r="H237" s="136"/>
      <c r="I237" s="137"/>
      <c r="J237" s="137"/>
      <c r="K237" s="1289"/>
      <c r="L237" s="938"/>
      <c r="M237" s="938"/>
      <c r="N237" s="1106"/>
      <c r="O237" s="1107"/>
      <c r="P237" s="1107"/>
      <c r="Q237" s="1107"/>
      <c r="R237" s="1107"/>
      <c r="S237" s="2917"/>
      <c r="T237" s="1106"/>
      <c r="U237" s="1107"/>
      <c r="V237" s="1107"/>
      <c r="W237" s="1107"/>
      <c r="X237" s="1107"/>
      <c r="Y237" s="2917"/>
      <c r="Z237" s="1106"/>
      <c r="AA237" s="1107"/>
      <c r="AB237" s="1107"/>
      <c r="AC237" s="1107"/>
      <c r="AD237" s="1107"/>
      <c r="AE237" s="2917"/>
      <c r="AN237" s="938"/>
      <c r="AO237" s="938"/>
      <c r="AR237" s="2270"/>
      <c r="AS237" s="2270"/>
      <c r="AT237" s="2270"/>
      <c r="AU237" s="2270"/>
      <c r="AV237" s="2270"/>
      <c r="AW237" s="2270"/>
      <c r="BD237" s="938"/>
      <c r="BE237" s="938"/>
      <c r="BF237" s="938"/>
      <c r="BG237" s="938"/>
      <c r="BH237" s="938"/>
      <c r="BI237" s="938"/>
      <c r="BJ237" s="938"/>
      <c r="BK237" s="1394"/>
    </row>
    <row r="238" spans="1:63" ht="30" customHeight="1" x14ac:dyDescent="0.3">
      <c r="A238" s="2923" t="s">
        <v>186</v>
      </c>
      <c r="B238" s="1153"/>
      <c r="C238" s="1154"/>
      <c r="D238" s="1154"/>
      <c r="E238" s="1154"/>
      <c r="F238" s="1154"/>
      <c r="G238" s="1455"/>
      <c r="H238" s="136"/>
      <c r="I238" s="137"/>
      <c r="J238" s="137"/>
      <c r="K238" s="1289"/>
      <c r="L238" s="938"/>
      <c r="M238" s="938"/>
      <c r="N238" s="1153"/>
      <c r="O238" s="1154"/>
      <c r="P238" s="1154"/>
      <c r="Q238" s="1154"/>
      <c r="R238" s="1154"/>
      <c r="S238" s="1455"/>
      <c r="T238" s="1153"/>
      <c r="U238" s="1154"/>
      <c r="V238" s="1154"/>
      <c r="W238" s="1154"/>
      <c r="X238" s="1154"/>
      <c r="Y238" s="1455"/>
      <c r="Z238" s="1153"/>
      <c r="AA238" s="1154"/>
      <c r="AB238" s="1154"/>
      <c r="AC238" s="1154"/>
      <c r="AD238" s="1154"/>
      <c r="AE238" s="1455"/>
      <c r="AR238" s="2977"/>
      <c r="AS238" s="2977"/>
      <c r="AT238" s="2977"/>
      <c r="AU238" s="2977"/>
      <c r="AV238" s="2977"/>
      <c r="AW238" s="2977"/>
      <c r="BD238" s="938"/>
      <c r="BE238" s="938"/>
      <c r="BF238" s="938"/>
      <c r="BG238" s="938"/>
      <c r="BH238" s="938"/>
      <c r="BI238" s="938"/>
      <c r="BJ238" s="938"/>
      <c r="BK238" s="1394"/>
    </row>
    <row r="239" spans="1:63" ht="30" customHeight="1" x14ac:dyDescent="0.25">
      <c r="A239" s="2914"/>
      <c r="B239" s="1106"/>
      <c r="C239" s="1107"/>
      <c r="D239" s="1107"/>
      <c r="E239" s="1107"/>
      <c r="F239" s="1107"/>
      <c r="G239" s="1107"/>
      <c r="H239" s="136"/>
      <c r="I239" s="137"/>
      <c r="J239" s="137"/>
      <c r="K239" s="1289"/>
      <c r="L239" s="938"/>
      <c r="M239" s="938"/>
      <c r="N239" s="1106"/>
      <c r="O239" s="1107"/>
      <c r="P239" s="1107"/>
      <c r="Q239" s="1107"/>
      <c r="R239" s="1107"/>
      <c r="S239" s="2917"/>
      <c r="T239" s="1106"/>
      <c r="U239" s="1107"/>
      <c r="V239" s="1107"/>
      <c r="W239" s="1107"/>
      <c r="X239" s="1107"/>
      <c r="Y239" s="2917"/>
      <c r="Z239" s="1106"/>
      <c r="AA239" s="1107"/>
      <c r="AB239" s="1107"/>
      <c r="AC239" s="1107"/>
      <c r="AD239" s="1107"/>
      <c r="AE239" s="2917"/>
      <c r="AR239" s="2270"/>
      <c r="AS239" s="2270"/>
      <c r="AT239" s="2270"/>
      <c r="AU239" s="2270"/>
      <c r="AV239" s="2270"/>
      <c r="AW239" s="2270"/>
      <c r="BD239" s="938"/>
      <c r="BE239" s="938"/>
      <c r="BF239" s="938"/>
      <c r="BG239" s="938"/>
      <c r="BH239" s="938"/>
      <c r="BI239" s="938"/>
      <c r="BJ239" s="938"/>
      <c r="BK239" s="1394"/>
    </row>
    <row r="240" spans="1:63" ht="30" customHeight="1" x14ac:dyDescent="0.3">
      <c r="A240" s="2923" t="s">
        <v>187</v>
      </c>
      <c r="B240" s="1153"/>
      <c r="C240" s="1154"/>
      <c r="D240" s="1154"/>
      <c r="E240" s="1154"/>
      <c r="F240" s="1154"/>
      <c r="G240" s="1455"/>
      <c r="H240" s="136"/>
      <c r="I240" s="137"/>
      <c r="J240" s="137"/>
      <c r="K240" s="1289"/>
      <c r="L240" s="938"/>
      <c r="M240" s="938"/>
      <c r="N240" s="1153"/>
      <c r="O240" s="1154"/>
      <c r="P240" s="1154"/>
      <c r="Q240" s="1154"/>
      <c r="R240" s="1154"/>
      <c r="S240" s="1455"/>
      <c r="T240" s="1153"/>
      <c r="U240" s="1154"/>
      <c r="V240" s="1154"/>
      <c r="W240" s="1154"/>
      <c r="X240" s="1154"/>
      <c r="Y240" s="1455"/>
      <c r="Z240" s="1153"/>
      <c r="AA240" s="1154"/>
      <c r="AB240" s="1154"/>
      <c r="AC240" s="1154"/>
      <c r="AD240" s="1154"/>
      <c r="AE240" s="1455"/>
      <c r="AR240" s="2977"/>
      <c r="AS240" s="2977"/>
      <c r="AT240" s="2977"/>
      <c r="AU240" s="2977"/>
      <c r="AV240" s="2977"/>
      <c r="AW240" s="2977"/>
      <c r="BD240" s="451"/>
      <c r="BE240" s="451"/>
      <c r="BF240" s="451"/>
      <c r="BG240" s="451"/>
      <c r="BH240" s="451"/>
      <c r="BI240" s="451"/>
      <c r="BJ240" s="451"/>
      <c r="BK240" s="452"/>
    </row>
    <row r="241" spans="1:63" ht="30" customHeight="1" x14ac:dyDescent="0.25">
      <c r="A241" s="2924"/>
      <c r="B241" s="1106"/>
      <c r="C241" s="1107"/>
      <c r="D241" s="1107"/>
      <c r="E241" s="1107"/>
      <c r="F241" s="1107"/>
      <c r="G241" s="1107"/>
      <c r="H241" s="460"/>
      <c r="I241" s="454"/>
      <c r="J241" s="454"/>
      <c r="K241" s="461"/>
      <c r="L241" s="461"/>
      <c r="M241" s="462"/>
      <c r="N241" s="1106"/>
      <c r="O241" s="1107"/>
      <c r="P241" s="1107"/>
      <c r="Q241" s="1107"/>
      <c r="R241" s="1107"/>
      <c r="S241" s="2917"/>
      <c r="T241" s="1106"/>
      <c r="U241" s="1107"/>
      <c r="V241" s="1107"/>
      <c r="W241" s="1107"/>
      <c r="X241" s="1107"/>
      <c r="Y241" s="2917"/>
      <c r="Z241" s="1106"/>
      <c r="AA241" s="1107"/>
      <c r="AB241" s="1107"/>
      <c r="AC241" s="1107"/>
      <c r="AD241" s="1107"/>
      <c r="AE241" s="2917"/>
      <c r="AR241" s="2270"/>
      <c r="AS241" s="2270"/>
      <c r="AT241" s="2270"/>
      <c r="AU241" s="2270"/>
      <c r="AV241" s="2270"/>
      <c r="AW241" s="2270"/>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21" t="s">
        <v>214</v>
      </c>
      <c r="B247" s="2922"/>
      <c r="C247" s="2271" t="s">
        <v>215</v>
      </c>
      <c r="D247" s="2272"/>
      <c r="E247" s="2272"/>
      <c r="F247" s="2272"/>
      <c r="G247" s="2272"/>
      <c r="H247" s="2272"/>
      <c r="I247" s="2272"/>
      <c r="J247" s="2272"/>
      <c r="K247" s="2272"/>
      <c r="L247" s="166"/>
      <c r="M247" s="2273" t="s">
        <v>618</v>
      </c>
      <c r="N247" s="2268"/>
      <c r="O247" s="2271" t="s">
        <v>139</v>
      </c>
      <c r="P247" s="2274"/>
      <c r="Q247" s="2271" t="s">
        <v>163</v>
      </c>
      <c r="R247" s="2272"/>
      <c r="S247" s="2272"/>
      <c r="T247" s="2272"/>
      <c r="U247" s="2272"/>
      <c r="V247" s="2272"/>
      <c r="W247" s="2272"/>
      <c r="X247" s="2272"/>
      <c r="Y247" s="2272"/>
      <c r="Z247" s="2272"/>
      <c r="AA247" s="2272"/>
      <c r="AB247" s="2272"/>
      <c r="AC247" s="2272"/>
      <c r="AD247" s="2272"/>
      <c r="AE247" s="2274"/>
      <c r="AM247" s="447"/>
    </row>
    <row r="248" spans="1:63" ht="13.8" x14ac:dyDescent="0.25">
      <c r="A248" s="2251" t="s">
        <v>935</v>
      </c>
      <c r="B248" s="2252"/>
      <c r="C248" s="2006" t="str">
        <f>ASIGNATURAS!I334</f>
        <v>Ing. Genética y Terapia Genética</v>
      </c>
      <c r="D248" s="1177"/>
      <c r="E248" s="1177"/>
      <c r="F248" s="1177"/>
      <c r="G248" s="1177"/>
      <c r="H248" s="1177"/>
      <c r="I248" s="1177"/>
      <c r="J248" s="1177"/>
      <c r="K248" s="1177"/>
      <c r="L248" s="981"/>
      <c r="M248" s="2145">
        <v>8233</v>
      </c>
      <c r="N248" s="936"/>
      <c r="O248" s="2145">
        <v>6</v>
      </c>
      <c r="P248" s="936"/>
      <c r="Q248" s="2006" t="str">
        <f>ASIGNATURAS!K334</f>
        <v>Sonia Ramos Gómez</v>
      </c>
      <c r="R248" s="1177"/>
      <c r="S248" s="1177"/>
      <c r="T248" s="1177"/>
      <c r="U248" s="1177"/>
      <c r="V248" s="1177"/>
      <c r="W248" s="1177"/>
      <c r="X248" s="1177"/>
      <c r="Y248" s="1177"/>
      <c r="Z248" s="1177"/>
      <c r="AA248" s="1177"/>
      <c r="AB248" s="1177"/>
      <c r="AC248" s="1177"/>
      <c r="AD248" s="1177"/>
      <c r="AE248" s="981"/>
    </row>
    <row r="249" spans="1:63" ht="13.8" x14ac:dyDescent="0.25">
      <c r="A249" s="2251" t="s">
        <v>938</v>
      </c>
      <c r="B249" s="2252"/>
      <c r="C249" s="2006" t="str">
        <f>ASIGNATURAS!I335</f>
        <v>Ing. De Control</v>
      </c>
      <c r="D249" s="1177"/>
      <c r="E249" s="1177"/>
      <c r="F249" s="1177"/>
      <c r="G249" s="1177"/>
      <c r="H249" s="1177"/>
      <c r="I249" s="1177"/>
      <c r="J249" s="1177"/>
      <c r="K249" s="1177"/>
      <c r="L249" s="981"/>
      <c r="M249" s="2145">
        <v>8234</v>
      </c>
      <c r="N249" s="936"/>
      <c r="O249" s="2145">
        <v>6</v>
      </c>
      <c r="P249" s="936"/>
      <c r="Q249" s="2006" t="str">
        <f>ASIGNATURAS!K335</f>
        <v>Daniel Sarabia</v>
      </c>
      <c r="R249" s="1177"/>
      <c r="S249" s="1177"/>
      <c r="T249" s="1177"/>
      <c r="U249" s="1177"/>
      <c r="V249" s="1177"/>
      <c r="W249" s="1177"/>
      <c r="X249" s="1177"/>
      <c r="Y249" s="1177"/>
      <c r="Z249" s="1177"/>
      <c r="AA249" s="1177"/>
      <c r="AB249" s="1177"/>
      <c r="AC249" s="1177"/>
      <c r="AD249" s="1177"/>
      <c r="AE249" s="981"/>
    </row>
    <row r="250" spans="1:63" ht="14.25" customHeight="1" x14ac:dyDescent="0.25">
      <c r="A250" s="2251" t="s">
        <v>940</v>
      </c>
      <c r="B250" s="2252"/>
      <c r="C250" s="2006" t="str">
        <f>ASIGNATURAS!I336</f>
        <v>Fuentes de Datos Biomédicas y Web Semánficas</v>
      </c>
      <c r="D250" s="1177"/>
      <c r="E250" s="1177"/>
      <c r="F250" s="1177"/>
      <c r="G250" s="1177"/>
      <c r="H250" s="1177"/>
      <c r="I250" s="1177"/>
      <c r="J250" s="1177"/>
      <c r="K250" s="1177"/>
      <c r="L250" s="981"/>
      <c r="M250" s="2145">
        <v>8235</v>
      </c>
      <c r="N250" s="936"/>
      <c r="O250" s="2145">
        <v>6</v>
      </c>
      <c r="P250" s="936"/>
      <c r="Q250" s="2006" t="str">
        <f>ASIGNATURAS!K336</f>
        <v>Antonio Canepa</v>
      </c>
      <c r="R250" s="1177"/>
      <c r="S250" s="1177"/>
      <c r="T250" s="1177"/>
      <c r="U250" s="1177"/>
      <c r="V250" s="1177"/>
      <c r="W250" s="1177"/>
      <c r="X250" s="1177"/>
      <c r="Y250" s="1177"/>
      <c r="Z250" s="1177"/>
      <c r="AA250" s="1177"/>
      <c r="AB250" s="1177"/>
      <c r="AC250" s="1177"/>
      <c r="AD250" s="1177"/>
      <c r="AE250" s="981"/>
    </row>
    <row r="251" spans="1:63" ht="13.8" x14ac:dyDescent="0.25">
      <c r="A251" s="2251" t="s">
        <v>575</v>
      </c>
      <c r="B251" s="2252"/>
      <c r="C251" s="2006" t="str">
        <f>ASIGNATURAS!I337</f>
        <v>Sistemas Inteligentes Aplicados a Salud</v>
      </c>
      <c r="D251" s="1177"/>
      <c r="E251" s="1177"/>
      <c r="F251" s="1177"/>
      <c r="G251" s="1177"/>
      <c r="H251" s="1177"/>
      <c r="I251" s="1177"/>
      <c r="J251" s="1177"/>
      <c r="K251" s="1177"/>
      <c r="L251" s="981"/>
      <c r="M251" s="2145">
        <v>8236</v>
      </c>
      <c r="N251" s="936"/>
      <c r="O251" s="936">
        <v>6</v>
      </c>
      <c r="P251" s="1205"/>
      <c r="Q251" s="2006" t="str">
        <f>ASIGNATURAS!L337</f>
        <v>Alberto Maestro</v>
      </c>
      <c r="R251" s="1177"/>
      <c r="S251" s="1177"/>
      <c r="T251" s="1177"/>
      <c r="U251" s="1177"/>
      <c r="V251" s="1177"/>
      <c r="W251" s="1177"/>
      <c r="X251" s="1177"/>
      <c r="Y251" s="1177"/>
      <c r="Z251" s="1177"/>
      <c r="AA251" s="1177"/>
      <c r="AB251" s="1177"/>
      <c r="AC251" s="1177"/>
      <c r="AD251" s="1177"/>
      <c r="AE251" s="981"/>
    </row>
    <row r="252" spans="1:63" ht="13.8" x14ac:dyDescent="0.25">
      <c r="A252" s="2251" t="s">
        <v>943</v>
      </c>
      <c r="B252" s="2252"/>
      <c r="C252" s="2006" t="str">
        <f>ASIGNATURAS!I338</f>
        <v>Bioinformática</v>
      </c>
      <c r="D252" s="1177"/>
      <c r="E252" s="1177"/>
      <c r="F252" s="1177"/>
      <c r="G252" s="1177"/>
      <c r="H252" s="1177"/>
      <c r="I252" s="1177"/>
      <c r="J252" s="1177"/>
      <c r="K252" s="1177"/>
      <c r="L252" s="981"/>
      <c r="M252" s="2145">
        <v>8237</v>
      </c>
      <c r="N252" s="936"/>
      <c r="O252" s="936">
        <v>6</v>
      </c>
      <c r="P252" s="1205"/>
      <c r="Q252" s="2006" t="str">
        <f>ASIGNATURAS!L338</f>
        <v>David Palacios</v>
      </c>
      <c r="R252" s="1177"/>
      <c r="S252" s="1177"/>
      <c r="T252" s="1177"/>
      <c r="U252" s="1177"/>
      <c r="V252" s="1177"/>
      <c r="W252" s="1177"/>
      <c r="X252" s="1177"/>
      <c r="Y252" s="1177"/>
      <c r="Z252" s="1177"/>
      <c r="AA252" s="1177"/>
      <c r="AB252" s="1177"/>
      <c r="AC252" s="1177"/>
      <c r="AD252" s="1177"/>
      <c r="AE252" s="981"/>
    </row>
    <row r="253" spans="1:63" ht="13.8" x14ac:dyDescent="0.25">
      <c r="A253" s="2251" t="s">
        <v>1002</v>
      </c>
      <c r="B253" s="2252"/>
      <c r="C253" s="2006" t="s">
        <v>1052</v>
      </c>
      <c r="D253" s="1177"/>
      <c r="E253" s="1177"/>
      <c r="F253" s="1177"/>
      <c r="G253" s="1177"/>
      <c r="H253" s="1177"/>
      <c r="I253" s="1177"/>
      <c r="J253" s="1177"/>
      <c r="K253" s="1177"/>
      <c r="L253" s="981"/>
      <c r="M253" s="2145">
        <v>8243</v>
      </c>
      <c r="N253" s="936"/>
      <c r="O253" s="2145">
        <v>6</v>
      </c>
      <c r="P253" s="936"/>
      <c r="Q253" s="2006"/>
      <c r="R253" s="1177"/>
      <c r="S253" s="1177"/>
      <c r="T253" s="1177"/>
      <c r="U253" s="1177"/>
      <c r="V253" s="1177"/>
      <c r="W253" s="1177"/>
      <c r="X253" s="1177"/>
      <c r="Y253" s="1177"/>
      <c r="Z253" s="1177"/>
      <c r="AA253" s="1177"/>
      <c r="AB253" s="1177"/>
      <c r="AC253" s="1177"/>
      <c r="AD253" s="1177"/>
      <c r="AE253" s="981"/>
    </row>
    <row r="256" spans="1:63" ht="15" x14ac:dyDescent="0.25">
      <c r="A256" s="2972" t="s">
        <v>165</v>
      </c>
      <c r="B256" s="2973"/>
      <c r="C256" s="2973"/>
      <c r="D256" s="2973"/>
      <c r="E256" s="2974"/>
    </row>
    <row r="257" spans="1:31" ht="15" x14ac:dyDescent="0.25">
      <c r="A257" s="2928" t="s">
        <v>720</v>
      </c>
      <c r="B257" s="2975"/>
      <c r="C257" s="2975"/>
      <c r="D257" s="2975"/>
      <c r="E257" s="2976"/>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6" t="s">
        <v>967</v>
      </c>
      <c r="B262" s="2297"/>
      <c r="C262" s="2297"/>
      <c r="D262" s="2297"/>
      <c r="E262" s="2297"/>
      <c r="F262" s="2297"/>
      <c r="G262" s="2297"/>
      <c r="H262" s="2297"/>
      <c r="I262" s="2297"/>
      <c r="J262" s="2297"/>
      <c r="K262" s="2297"/>
      <c r="L262" s="2297"/>
      <c r="M262" s="2297"/>
      <c r="N262" s="2297"/>
      <c r="O262" s="2297"/>
      <c r="P262" s="2297"/>
      <c r="Q262" s="2297"/>
      <c r="R262" s="2297"/>
      <c r="S262" s="2297"/>
      <c r="T262" s="2297"/>
      <c r="U262" s="2297"/>
      <c r="V262" s="2297"/>
      <c r="W262" s="2297"/>
      <c r="X262" s="2297"/>
      <c r="Y262" s="2298"/>
      <c r="Z262" s="2254" t="str">
        <f>Z149</f>
        <v>Curso 2024-2025</v>
      </c>
      <c r="AA262" s="2254"/>
      <c r="AB262" s="2254"/>
      <c r="AC262" s="2254"/>
      <c r="AD262" s="2254"/>
      <c r="AE262" s="2255"/>
    </row>
    <row r="263" spans="1:31" ht="23.25" customHeight="1" x14ac:dyDescent="0.25">
      <c r="A263" s="2291" t="s">
        <v>969</v>
      </c>
      <c r="B263" s="2292"/>
      <c r="C263" s="2292"/>
      <c r="D263" s="2292"/>
      <c r="E263" s="2292"/>
      <c r="F263" s="2292"/>
      <c r="G263" s="2292"/>
      <c r="H263" s="2292"/>
      <c r="I263" s="2292"/>
      <c r="J263" s="2292"/>
      <c r="K263" s="2292"/>
      <c r="L263" s="2292"/>
      <c r="M263" s="2292"/>
      <c r="N263" s="2292"/>
      <c r="O263" s="2292"/>
      <c r="P263" s="2292"/>
      <c r="Q263" s="2292"/>
      <c r="R263" s="2292"/>
      <c r="S263" s="2292"/>
      <c r="T263" s="2292"/>
      <c r="U263" s="2292"/>
      <c r="V263" s="2292"/>
      <c r="W263" s="2292"/>
      <c r="X263" s="2292"/>
      <c r="Y263" s="2293"/>
      <c r="Z263" s="2279" t="s">
        <v>155</v>
      </c>
      <c r="AA263" s="2279"/>
      <c r="AB263" s="2279"/>
      <c r="AC263" s="2279"/>
      <c r="AD263" s="2279"/>
      <c r="AE263" s="2280"/>
    </row>
    <row r="264" spans="1:31" ht="23.25" customHeight="1" x14ac:dyDescent="0.25">
      <c r="A264" s="2264" t="s">
        <v>1024</v>
      </c>
      <c r="B264" s="2265"/>
      <c r="C264" s="2265"/>
      <c r="D264" s="2265"/>
      <c r="E264" s="2265"/>
      <c r="F264" s="2265"/>
      <c r="G264" s="2265"/>
      <c r="H264" s="2265"/>
      <c r="I264" s="2265"/>
      <c r="J264" s="2265"/>
      <c r="K264" s="2265"/>
      <c r="L264" s="2265"/>
      <c r="M264" s="2265"/>
      <c r="N264" s="2265"/>
      <c r="O264" s="2265"/>
      <c r="P264" s="2265"/>
      <c r="Q264" s="2265"/>
      <c r="R264" s="2265"/>
      <c r="S264" s="2265"/>
      <c r="T264" s="2265"/>
      <c r="U264" s="2265"/>
      <c r="V264" s="2265"/>
      <c r="W264" s="2265"/>
      <c r="X264" s="2265"/>
      <c r="Y264" s="2266"/>
      <c r="Z264" s="2281"/>
      <c r="AA264" s="2281"/>
      <c r="AB264" s="2281"/>
      <c r="AC264" s="2281"/>
      <c r="AD264" s="2281"/>
      <c r="AE264" s="2282"/>
    </row>
    <row r="265" spans="1:31" ht="18" customHeight="1" thickBot="1" x14ac:dyDescent="0.3">
      <c r="A265" s="9" t="s">
        <v>703</v>
      </c>
      <c r="AE265" s="367"/>
    </row>
    <row r="266" spans="1:31" ht="9" hidden="1" customHeight="1" thickBot="1" x14ac:dyDescent="0.3">
      <c r="A266" s="165" t="s">
        <v>1</v>
      </c>
      <c r="B266" s="2284" t="s">
        <v>2</v>
      </c>
      <c r="C266" s="2284"/>
      <c r="D266" s="2284"/>
      <c r="E266" s="2284"/>
      <c r="F266" s="2284"/>
      <c r="G266" s="2285"/>
      <c r="H266" s="2284" t="s">
        <v>3</v>
      </c>
      <c r="I266" s="2284"/>
      <c r="J266" s="2284"/>
      <c r="K266" s="2284"/>
      <c r="L266" s="2284"/>
      <c r="M266" s="2285"/>
      <c r="N266" s="2286" t="s">
        <v>135</v>
      </c>
      <c r="O266" s="2287"/>
      <c r="P266" s="2287"/>
      <c r="Q266" s="2287"/>
      <c r="R266" s="2287"/>
      <c r="S266" s="2288"/>
      <c r="T266" s="2284" t="s">
        <v>4</v>
      </c>
      <c r="U266" s="2284"/>
      <c r="V266" s="2284"/>
      <c r="W266" s="2284"/>
      <c r="X266" s="2284"/>
      <c r="Y266" s="2285"/>
      <c r="Z266" s="2286" t="s">
        <v>5</v>
      </c>
      <c r="AA266" s="2287"/>
      <c r="AB266" s="2287"/>
      <c r="AC266" s="2287"/>
      <c r="AD266" s="2287"/>
      <c r="AE266" s="2288"/>
    </row>
    <row r="267" spans="1:31" ht="16.2" hidden="1" thickBot="1" x14ac:dyDescent="0.35">
      <c r="A267" s="2923" t="s">
        <v>10</v>
      </c>
      <c r="B267" s="931"/>
      <c r="C267" s="932"/>
      <c r="D267" s="932"/>
      <c r="E267" s="932"/>
      <c r="F267" s="932"/>
      <c r="G267" s="933"/>
      <c r="H267" s="2966"/>
      <c r="I267" s="2967"/>
      <c r="J267" s="2967"/>
      <c r="K267" s="2967"/>
      <c r="L267" s="2967"/>
      <c r="M267" s="2968"/>
      <c r="N267" s="2966"/>
      <c r="O267" s="2967"/>
      <c r="P267" s="2967"/>
      <c r="Q267" s="2967"/>
      <c r="R267" s="2967"/>
      <c r="S267" s="2968"/>
      <c r="T267" s="349"/>
      <c r="U267" s="350"/>
      <c r="V267" s="350"/>
      <c r="W267" s="350"/>
      <c r="X267" s="350"/>
      <c r="Y267" s="351"/>
      <c r="Z267" s="278"/>
      <c r="AA267" s="10"/>
      <c r="AB267" s="374"/>
      <c r="AC267" s="360"/>
      <c r="AD267" s="360"/>
      <c r="AE267" s="361"/>
    </row>
    <row r="268" spans="1:31" ht="13.8" hidden="1" thickBot="1" x14ac:dyDescent="0.3">
      <c r="A268" s="2924"/>
      <c r="B268" s="1297"/>
      <c r="C268" s="1298"/>
      <c r="D268" s="1298"/>
      <c r="E268" s="1298"/>
      <c r="F268" s="1298"/>
      <c r="G268" s="1299"/>
      <c r="H268" s="1297"/>
      <c r="I268" s="1298"/>
      <c r="J268" s="1298"/>
      <c r="K268" s="1298"/>
      <c r="L268" s="1298"/>
      <c r="M268" s="1299"/>
      <c r="N268" s="1297"/>
      <c r="O268" s="1298"/>
      <c r="P268" s="1298"/>
      <c r="Q268" s="1298"/>
      <c r="R268" s="1298"/>
      <c r="S268" s="1299"/>
      <c r="T268" s="362"/>
      <c r="U268" s="348"/>
      <c r="V268" s="348"/>
      <c r="W268" s="365"/>
      <c r="X268" s="365"/>
      <c r="Y268" s="371"/>
      <c r="Z268" s="278"/>
      <c r="AA268" s="10"/>
      <c r="AB268" s="348"/>
      <c r="AC268" s="365"/>
      <c r="AD268" s="348"/>
      <c r="AE268" s="371"/>
    </row>
    <row r="269" spans="1:31" ht="16.2" hidden="1" thickBot="1" x14ac:dyDescent="0.35">
      <c r="A269" s="2923"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4"/>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3" t="s">
        <v>6</v>
      </c>
      <c r="B271" s="931"/>
      <c r="C271" s="932"/>
      <c r="D271" s="932"/>
      <c r="E271" s="932"/>
      <c r="F271" s="932"/>
      <c r="G271" s="933"/>
      <c r="H271" s="931"/>
      <c r="I271" s="932"/>
      <c r="J271" s="932"/>
      <c r="K271" s="932"/>
      <c r="L271" s="932"/>
      <c r="M271" s="933"/>
      <c r="N271" s="931"/>
      <c r="O271" s="932"/>
      <c r="P271" s="932"/>
      <c r="Q271" s="932"/>
      <c r="R271" s="932"/>
      <c r="S271" s="933"/>
      <c r="T271" s="356"/>
      <c r="U271" s="357"/>
      <c r="V271" s="360"/>
      <c r="W271" s="357"/>
      <c r="X271" s="357"/>
      <c r="Y271" s="361"/>
      <c r="Z271" s="368"/>
      <c r="AA271" s="282"/>
      <c r="AB271" s="373"/>
      <c r="AC271" s="360"/>
      <c r="AD271" s="357"/>
      <c r="AE271" s="361"/>
    </row>
    <row r="272" spans="1:31" ht="13.8" hidden="1" thickBot="1" x14ac:dyDescent="0.3">
      <c r="A272" s="2924"/>
      <c r="B272" s="1297"/>
      <c r="C272" s="1298"/>
      <c r="D272" s="1298"/>
      <c r="E272" s="1298"/>
      <c r="F272" s="1298"/>
      <c r="G272" s="1299"/>
      <c r="H272" s="1297"/>
      <c r="I272" s="1298"/>
      <c r="J272" s="1298"/>
      <c r="K272" s="1298"/>
      <c r="L272" s="1298"/>
      <c r="M272" s="1299"/>
      <c r="N272" s="2969"/>
      <c r="O272" s="2970"/>
      <c r="P272" s="2970"/>
      <c r="Q272" s="2970"/>
      <c r="R272" s="2970"/>
      <c r="S272" s="2971"/>
      <c r="T272" s="362"/>
      <c r="U272" s="365"/>
      <c r="V272" s="365"/>
      <c r="W272" s="348"/>
      <c r="X272" s="365"/>
      <c r="Y272" s="363"/>
      <c r="Z272" s="278"/>
      <c r="AA272" s="283"/>
      <c r="AB272" s="348"/>
      <c r="AC272" s="348"/>
      <c r="AD272" s="348"/>
      <c r="AE272" s="371"/>
    </row>
    <row r="273" spans="1:45" ht="16.2" hidden="1" thickBot="1" x14ac:dyDescent="0.35">
      <c r="A273" s="2923" t="s">
        <v>7</v>
      </c>
      <c r="B273" s="931"/>
      <c r="C273" s="932"/>
      <c r="D273" s="932"/>
      <c r="E273" s="932"/>
      <c r="F273" s="932"/>
      <c r="G273" s="933"/>
      <c r="H273" s="931"/>
      <c r="I273" s="932"/>
      <c r="J273" s="932"/>
      <c r="K273" s="932"/>
      <c r="L273" s="932"/>
      <c r="M273" s="933"/>
      <c r="N273" s="931"/>
      <c r="O273" s="932"/>
      <c r="P273" s="932"/>
      <c r="Q273" s="932"/>
      <c r="R273" s="932"/>
      <c r="S273" s="933"/>
      <c r="T273" s="359"/>
      <c r="U273" s="357"/>
      <c r="V273" s="357"/>
      <c r="W273" s="360"/>
      <c r="X273" s="357"/>
      <c r="Y273" s="361"/>
      <c r="Z273" s="368"/>
      <c r="AA273" s="10"/>
      <c r="AB273" s="373"/>
      <c r="AC273" s="360"/>
      <c r="AD273" s="360"/>
      <c r="AE273" s="358"/>
    </row>
    <row r="274" spans="1:45" ht="13.8" hidden="1" thickBot="1" x14ac:dyDescent="0.3">
      <c r="A274" s="2924"/>
      <c r="B274" s="1297"/>
      <c r="C274" s="1298"/>
      <c r="D274" s="1298"/>
      <c r="E274" s="1298"/>
      <c r="F274" s="1298"/>
      <c r="G274" s="1299"/>
      <c r="H274" s="1297"/>
      <c r="I274" s="1298"/>
      <c r="J274" s="1298"/>
      <c r="K274" s="1298"/>
      <c r="L274" s="1298"/>
      <c r="M274" s="1299"/>
      <c r="N274" s="1297"/>
      <c r="O274" s="1298"/>
      <c r="P274" s="1298"/>
      <c r="Q274" s="1298"/>
      <c r="R274" s="1298"/>
      <c r="S274" s="1299"/>
      <c r="T274" s="362"/>
      <c r="U274" s="348"/>
      <c r="V274" s="348"/>
      <c r="W274" s="348"/>
      <c r="X274" s="348"/>
      <c r="Y274" s="371"/>
      <c r="Z274" s="278"/>
      <c r="AA274" s="10"/>
      <c r="AB274" s="348"/>
      <c r="AC274" s="365"/>
      <c r="AD274" s="365"/>
      <c r="AE274" s="363"/>
    </row>
    <row r="275" spans="1:45" ht="16.2" hidden="1" thickBot="1" x14ac:dyDescent="0.35">
      <c r="A275" s="2923" t="s">
        <v>8</v>
      </c>
      <c r="B275" s="931"/>
      <c r="C275" s="932"/>
      <c r="D275" s="932"/>
      <c r="E275" s="932"/>
      <c r="F275" s="932"/>
      <c r="G275" s="933"/>
      <c r="H275" s="931"/>
      <c r="I275" s="932"/>
      <c r="J275" s="932"/>
      <c r="K275" s="932"/>
      <c r="L275" s="932"/>
      <c r="M275" s="933"/>
      <c r="N275" s="2961"/>
      <c r="O275" s="2320"/>
      <c r="P275" s="2320"/>
      <c r="Q275" s="2320"/>
      <c r="R275" s="2320"/>
      <c r="S275" s="2962"/>
      <c r="T275" s="359"/>
      <c r="U275" s="360"/>
      <c r="V275" s="360"/>
      <c r="W275" s="360"/>
      <c r="X275" s="360"/>
      <c r="Y275" s="358"/>
      <c r="Z275" s="368"/>
      <c r="AA275" s="282"/>
      <c r="AB275" s="373"/>
      <c r="AC275" s="357"/>
      <c r="AD275" s="357"/>
      <c r="AE275" s="361"/>
    </row>
    <row r="276" spans="1:45" ht="13.8" hidden="1" thickBot="1" x14ac:dyDescent="0.3">
      <c r="A276" s="2924"/>
      <c r="B276" s="1297"/>
      <c r="C276" s="1298"/>
      <c r="D276" s="1298"/>
      <c r="E276" s="1298"/>
      <c r="F276" s="1298"/>
      <c r="G276" s="1299"/>
      <c r="H276" s="1297"/>
      <c r="I276" s="1298"/>
      <c r="J276" s="1298"/>
      <c r="K276" s="1298"/>
      <c r="L276" s="1298"/>
      <c r="M276" s="1299"/>
      <c r="N276" s="1297"/>
      <c r="O276" s="1298"/>
      <c r="P276" s="1298"/>
      <c r="Q276" s="1298"/>
      <c r="R276" s="1298"/>
      <c r="S276" s="1299"/>
      <c r="T276" s="364"/>
      <c r="U276" s="365"/>
      <c r="V276" s="348"/>
      <c r="W276" s="365"/>
      <c r="X276" s="348"/>
      <c r="Y276" s="371"/>
      <c r="Z276" s="278"/>
      <c r="AA276" s="10"/>
      <c r="AB276" s="348"/>
      <c r="AC276" s="348"/>
      <c r="AD276" s="348"/>
      <c r="AE276" s="371"/>
    </row>
    <row r="277" spans="1:45" ht="16.2" hidden="1" thickBot="1" x14ac:dyDescent="0.35">
      <c r="A277" s="2923" t="s">
        <v>9</v>
      </c>
      <c r="B277" s="931"/>
      <c r="C277" s="932"/>
      <c r="D277" s="932"/>
      <c r="E277" s="932"/>
      <c r="F277" s="932"/>
      <c r="G277" s="933"/>
      <c r="H277" s="931"/>
      <c r="I277" s="932"/>
      <c r="J277" s="932"/>
      <c r="K277" s="932"/>
      <c r="L277" s="932"/>
      <c r="M277" s="933"/>
      <c r="N277" s="2961"/>
      <c r="O277" s="2320"/>
      <c r="P277" s="2320"/>
      <c r="Q277" s="2320"/>
      <c r="R277" s="2320"/>
      <c r="S277" s="2962"/>
      <c r="T277" s="356"/>
      <c r="U277" s="357"/>
      <c r="V277" s="360"/>
      <c r="W277" s="357"/>
      <c r="X277" s="360"/>
      <c r="Y277" s="358"/>
      <c r="Z277" s="368"/>
      <c r="AA277" s="282"/>
      <c r="AB277" s="373"/>
      <c r="AC277" s="360"/>
      <c r="AD277" s="360"/>
      <c r="AE277" s="358"/>
    </row>
    <row r="278" spans="1:45" ht="13.8" hidden="1" thickBot="1" x14ac:dyDescent="0.3">
      <c r="A278" s="2924"/>
      <c r="B278" s="1297"/>
      <c r="C278" s="1298"/>
      <c r="D278" s="1298"/>
      <c r="E278" s="1298"/>
      <c r="F278" s="1298"/>
      <c r="G278" s="1299"/>
      <c r="H278" s="1297"/>
      <c r="I278" s="1298"/>
      <c r="J278" s="1298"/>
      <c r="K278" s="1298"/>
      <c r="L278" s="1298"/>
      <c r="M278" s="1299"/>
      <c r="N278" s="1297"/>
      <c r="O278" s="1298"/>
      <c r="P278" s="1298"/>
      <c r="Q278" s="1298"/>
      <c r="R278" s="1298"/>
      <c r="S278" s="1299"/>
      <c r="T278" s="362"/>
      <c r="U278" s="348"/>
      <c r="V278" s="348"/>
      <c r="W278" s="348"/>
      <c r="X278" s="348"/>
      <c r="Y278" s="363"/>
      <c r="Z278" s="278"/>
      <c r="AA278" s="10"/>
      <c r="AB278" s="348"/>
      <c r="AC278" s="348"/>
      <c r="AD278" s="348"/>
      <c r="AE278" s="363"/>
    </row>
    <row r="279" spans="1:45" ht="18" thickBot="1" x14ac:dyDescent="0.3">
      <c r="A279" s="19" t="s">
        <v>1</v>
      </c>
      <c r="B279" s="975" t="s">
        <v>2</v>
      </c>
      <c r="C279" s="976"/>
      <c r="D279" s="976"/>
      <c r="E279" s="976"/>
      <c r="F279" s="976"/>
      <c r="G279" s="977"/>
      <c r="H279" s="975" t="s">
        <v>3</v>
      </c>
      <c r="I279" s="976"/>
      <c r="J279" s="976"/>
      <c r="K279" s="976"/>
      <c r="L279" s="976"/>
      <c r="M279" s="977"/>
      <c r="N279" s="975" t="s">
        <v>135</v>
      </c>
      <c r="O279" s="976"/>
      <c r="P279" s="976"/>
      <c r="Q279" s="976"/>
      <c r="R279" s="976"/>
      <c r="S279" s="977"/>
      <c r="T279" s="1064" t="s">
        <v>4</v>
      </c>
      <c r="U279" s="1065"/>
      <c r="V279" s="1065"/>
      <c r="W279" s="1065"/>
      <c r="X279" s="1065"/>
      <c r="Y279" s="1066"/>
      <c r="Z279" s="975" t="s">
        <v>5</v>
      </c>
      <c r="AA279" s="976"/>
      <c r="AB279" s="976"/>
      <c r="AC279" s="976"/>
      <c r="AD279" s="976"/>
      <c r="AE279" s="977"/>
    </row>
    <row r="280" spans="1:45" ht="30" customHeight="1" x14ac:dyDescent="0.3">
      <c r="A280" s="2978" t="s">
        <v>10</v>
      </c>
      <c r="B280" s="1398" t="s">
        <v>930</v>
      </c>
      <c r="C280" s="938" t="s">
        <v>569</v>
      </c>
      <c r="D280" s="1051" t="s">
        <v>667</v>
      </c>
      <c r="E280" s="1560"/>
      <c r="F280" s="1166"/>
      <c r="G280" s="1168"/>
      <c r="H280" s="20"/>
      <c r="I280" s="20"/>
      <c r="J280" s="20"/>
      <c r="K280" s="2942" t="s">
        <v>930</v>
      </c>
      <c r="L280" s="938" t="s">
        <v>570</v>
      </c>
      <c r="M280" s="1051" t="s">
        <v>667</v>
      </c>
      <c r="N280" s="2915" t="s">
        <v>1073</v>
      </c>
      <c r="O280" s="2308"/>
      <c r="P280" s="2308"/>
      <c r="Q280" s="2308"/>
      <c r="R280" s="2308"/>
      <c r="S280" s="2916"/>
      <c r="T280" s="1002" t="s">
        <v>947</v>
      </c>
      <c r="U280" s="1003"/>
      <c r="V280" s="1003"/>
      <c r="W280" s="1003"/>
      <c r="X280" s="1003"/>
      <c r="Y280" s="1004"/>
      <c r="Z280" s="986" t="s">
        <v>949</v>
      </c>
      <c r="AA280" s="987"/>
      <c r="AB280" s="987"/>
      <c r="AC280" s="987"/>
      <c r="AD280" s="987"/>
      <c r="AE280" s="988"/>
    </row>
    <row r="281" spans="1:45" ht="35.25" customHeight="1" x14ac:dyDescent="0.25">
      <c r="A281" s="2914"/>
      <c r="B281" s="1398"/>
      <c r="C281" s="938"/>
      <c r="D281" s="1051"/>
      <c r="E281" s="1560"/>
      <c r="F281" s="1166"/>
      <c r="G281" s="1168"/>
      <c r="H281" s="20"/>
      <c r="I281" s="20"/>
      <c r="J281" s="20"/>
      <c r="K281" s="1287"/>
      <c r="L281" s="938"/>
      <c r="M281" s="1051"/>
      <c r="N281" s="1118" t="s">
        <v>984</v>
      </c>
      <c r="O281" s="1119"/>
      <c r="P281" s="1119"/>
      <c r="Q281" s="1119"/>
      <c r="R281" s="1119"/>
      <c r="S281" s="1120"/>
      <c r="T281" s="951" t="s">
        <v>155</v>
      </c>
      <c r="U281" s="952"/>
      <c r="V281" s="952"/>
      <c r="W281" s="952"/>
      <c r="X281" s="952"/>
      <c r="Y281" s="953"/>
      <c r="Z281" s="1118" t="s">
        <v>984</v>
      </c>
      <c r="AA281" s="1119"/>
      <c r="AB281" s="1119"/>
      <c r="AC281" s="1119"/>
      <c r="AD281" s="1119"/>
      <c r="AE281" s="1120"/>
    </row>
    <row r="282" spans="1:45" ht="30" customHeight="1" x14ac:dyDescent="0.3">
      <c r="A282" s="2923" t="s">
        <v>981</v>
      </c>
      <c r="B282" s="1398"/>
      <c r="C282" s="938"/>
      <c r="D282" s="1051"/>
      <c r="E282" s="1560"/>
      <c r="F282" s="1166"/>
      <c r="G282" s="1168"/>
      <c r="H282" s="20"/>
      <c r="I282" s="3041"/>
      <c r="J282" s="498"/>
      <c r="K282" s="1287"/>
      <c r="L282" s="938"/>
      <c r="M282" s="1051"/>
      <c r="N282" s="2915" t="s">
        <v>1073</v>
      </c>
      <c r="O282" s="2308"/>
      <c r="P282" s="2308"/>
      <c r="Q282" s="2308"/>
      <c r="R282" s="2308"/>
      <c r="S282" s="2916"/>
      <c r="T282" s="963" t="s">
        <v>947</v>
      </c>
      <c r="U282" s="957"/>
      <c r="V282" s="957"/>
      <c r="W282" s="957"/>
      <c r="X282" s="957"/>
      <c r="Y282" s="958"/>
      <c r="Z282" s="963" t="s">
        <v>1075</v>
      </c>
      <c r="AA282" s="957"/>
      <c r="AB282" s="957"/>
      <c r="AC282" s="957"/>
      <c r="AD282" s="957"/>
      <c r="AE282" s="958"/>
    </row>
    <row r="283" spans="1:45" ht="33" customHeight="1" x14ac:dyDescent="0.25">
      <c r="A283" s="2924"/>
      <c r="B283" s="1398"/>
      <c r="C283" s="938"/>
      <c r="D283" s="1051"/>
      <c r="E283" s="1560"/>
      <c r="F283" s="1166"/>
      <c r="G283" s="1168"/>
      <c r="H283" s="20"/>
      <c r="I283" s="3041"/>
      <c r="J283" s="498"/>
      <c r="K283" s="1287"/>
      <c r="L283" s="938"/>
      <c r="M283" s="1334"/>
      <c r="N283" s="1118" t="s">
        <v>984</v>
      </c>
      <c r="O283" s="1119"/>
      <c r="P283" s="1119"/>
      <c r="Q283" s="1119"/>
      <c r="R283" s="1119"/>
      <c r="S283" s="1120"/>
      <c r="T283" s="951" t="s">
        <v>155</v>
      </c>
      <c r="U283" s="952"/>
      <c r="V283" s="952"/>
      <c r="W283" s="952"/>
      <c r="X283" s="952"/>
      <c r="Y283" s="953"/>
      <c r="Z283" s="1012" t="s">
        <v>984</v>
      </c>
      <c r="AA283" s="997"/>
      <c r="AB283" s="997"/>
      <c r="AC283" s="997"/>
      <c r="AD283" s="997"/>
      <c r="AE283" s="1663"/>
    </row>
    <row r="284" spans="1:45" ht="30" customHeight="1" x14ac:dyDescent="0.3">
      <c r="A284" s="2914" t="s">
        <v>982</v>
      </c>
      <c r="B284" s="963" t="s">
        <v>949</v>
      </c>
      <c r="C284" s="957"/>
      <c r="D284" s="957"/>
      <c r="E284" s="957"/>
      <c r="F284" s="957"/>
      <c r="G284" s="958"/>
      <c r="H284" s="3030" t="s">
        <v>930</v>
      </c>
      <c r="I284" s="2310"/>
      <c r="J284" s="2310"/>
      <c r="K284" s="2310"/>
      <c r="L284" s="2310"/>
      <c r="M284" s="3031"/>
      <c r="N284" s="3030" t="s">
        <v>930</v>
      </c>
      <c r="O284" s="2310"/>
      <c r="P284" s="2310"/>
      <c r="Q284" s="2310"/>
      <c r="R284" s="2310"/>
      <c r="S284" s="3031"/>
      <c r="T284" s="2787" t="s">
        <v>930</v>
      </c>
      <c r="U284" s="2772"/>
      <c r="V284" s="2772"/>
      <c r="W284" s="2772"/>
      <c r="X284" s="2772"/>
      <c r="Y284" s="2773"/>
      <c r="Z284" s="986" t="s">
        <v>950</v>
      </c>
      <c r="AA284" s="987"/>
      <c r="AB284" s="987"/>
      <c r="AC284" s="987"/>
      <c r="AD284" s="987"/>
      <c r="AE284" s="988"/>
    </row>
    <row r="285" spans="1:45" ht="30" customHeight="1" x14ac:dyDescent="0.25">
      <c r="A285" s="2914"/>
      <c r="B285" s="951" t="s">
        <v>155</v>
      </c>
      <c r="C285" s="952"/>
      <c r="D285" s="952"/>
      <c r="E285" s="952"/>
      <c r="F285" s="952"/>
      <c r="G285" s="953"/>
      <c r="H285" s="951" t="s">
        <v>155</v>
      </c>
      <c r="I285" s="952"/>
      <c r="J285" s="952"/>
      <c r="K285" s="952"/>
      <c r="L285" s="952"/>
      <c r="M285" s="953"/>
      <c r="N285" s="1012" t="s">
        <v>155</v>
      </c>
      <c r="O285" s="997"/>
      <c r="P285" s="997"/>
      <c r="Q285" s="997"/>
      <c r="R285" s="997"/>
      <c r="S285" s="1663"/>
      <c r="T285" s="951" t="s">
        <v>155</v>
      </c>
      <c r="U285" s="952"/>
      <c r="V285" s="952"/>
      <c r="W285" s="952"/>
      <c r="X285" s="952"/>
      <c r="Y285" s="953"/>
      <c r="Z285" s="1118" t="s">
        <v>155</v>
      </c>
      <c r="AA285" s="1119"/>
      <c r="AB285" s="1119"/>
      <c r="AC285" s="1119"/>
      <c r="AD285" s="1119"/>
      <c r="AE285" s="1120"/>
    </row>
    <row r="286" spans="1:45" ht="30" customHeight="1" x14ac:dyDescent="0.3">
      <c r="A286" s="2923" t="s">
        <v>7</v>
      </c>
      <c r="B286" s="994" t="s">
        <v>217</v>
      </c>
      <c r="C286" s="995"/>
      <c r="D286" s="995"/>
      <c r="E286" s="995"/>
      <c r="F286" s="995"/>
      <c r="G286" s="996"/>
      <c r="H286" s="963" t="s">
        <v>950</v>
      </c>
      <c r="I286" s="957"/>
      <c r="J286" s="957"/>
      <c r="K286" s="957"/>
      <c r="L286" s="957"/>
      <c r="M286" s="958"/>
      <c r="N286" s="963" t="s">
        <v>217</v>
      </c>
      <c r="O286" s="957"/>
      <c r="P286" s="957"/>
      <c r="Q286" s="957"/>
      <c r="R286" s="957"/>
      <c r="S286" s="958"/>
      <c r="T286" s="994" t="s">
        <v>217</v>
      </c>
      <c r="U286" s="995"/>
      <c r="V286" s="995"/>
      <c r="W286" s="995"/>
      <c r="X286" s="995"/>
      <c r="Y286" s="996"/>
      <c r="Z286" s="963" t="s">
        <v>947</v>
      </c>
      <c r="AA286" s="957"/>
      <c r="AB286" s="957"/>
      <c r="AC286" s="957"/>
      <c r="AD286" s="957"/>
      <c r="AE286" s="958"/>
      <c r="AQ286" s="1075"/>
      <c r="AR286" s="938"/>
      <c r="AS286" s="1810"/>
    </row>
    <row r="287" spans="1:45" ht="30" customHeight="1" x14ac:dyDescent="0.25">
      <c r="A287" s="2924"/>
      <c r="B287" s="951" t="s">
        <v>155</v>
      </c>
      <c r="C287" s="952"/>
      <c r="D287" s="952"/>
      <c r="E287" s="952"/>
      <c r="F287" s="952"/>
      <c r="G287" s="953"/>
      <c r="H287" s="951" t="s">
        <v>155</v>
      </c>
      <c r="I287" s="952"/>
      <c r="J287" s="952"/>
      <c r="K287" s="952"/>
      <c r="L287" s="952"/>
      <c r="M287" s="953"/>
      <c r="N287" s="1012" t="s">
        <v>155</v>
      </c>
      <c r="O287" s="997"/>
      <c r="P287" s="997"/>
      <c r="Q287" s="997"/>
      <c r="R287" s="997"/>
      <c r="S287" s="1663"/>
      <c r="T287" s="951" t="s">
        <v>155</v>
      </c>
      <c r="U287" s="997"/>
      <c r="V287" s="952"/>
      <c r="W287" s="952"/>
      <c r="X287" s="952"/>
      <c r="Y287" s="953"/>
      <c r="Z287" s="951" t="s">
        <v>155</v>
      </c>
      <c r="AA287" s="997"/>
      <c r="AB287" s="952"/>
      <c r="AC287" s="952"/>
      <c r="AD287" s="952"/>
      <c r="AE287" s="953"/>
      <c r="AQ287" s="1075"/>
      <c r="AR287" s="938"/>
      <c r="AS287" s="1811"/>
    </row>
    <row r="288" spans="1:45" ht="30" customHeight="1" x14ac:dyDescent="0.3">
      <c r="A288" s="2914" t="s">
        <v>8</v>
      </c>
      <c r="B288" s="986" t="s">
        <v>949</v>
      </c>
      <c r="C288" s="987"/>
      <c r="D288" s="987"/>
      <c r="E288" s="987"/>
      <c r="F288" s="987"/>
      <c r="G288" s="988"/>
      <c r="H288" s="1398" t="s">
        <v>947</v>
      </c>
      <c r="I288" s="938"/>
      <c r="J288" s="3026" t="s">
        <v>733</v>
      </c>
      <c r="K288" s="20"/>
      <c r="L288" s="20"/>
      <c r="M288" s="20"/>
      <c r="N288" s="986" t="s">
        <v>217</v>
      </c>
      <c r="O288" s="987"/>
      <c r="P288" s="987"/>
      <c r="Q288" s="987"/>
      <c r="R288" s="987"/>
      <c r="S288" s="988"/>
      <c r="T288" s="986" t="s">
        <v>217</v>
      </c>
      <c r="U288" s="987"/>
      <c r="V288" s="987"/>
      <c r="W288" s="987"/>
      <c r="X288" s="987"/>
      <c r="Y288" s="988"/>
      <c r="Z288" s="986" t="s">
        <v>947</v>
      </c>
      <c r="AA288" s="987"/>
      <c r="AB288" s="987"/>
      <c r="AC288" s="987"/>
      <c r="AD288" s="987"/>
      <c r="AE288" s="988"/>
      <c r="AQ288" s="1467"/>
      <c r="AR288" s="1223"/>
      <c r="AS288" s="1811"/>
    </row>
    <row r="289" spans="1:45" ht="30" customHeight="1" thickBot="1" x14ac:dyDescent="0.3">
      <c r="A289" s="2914"/>
      <c r="B289" s="1118" t="s">
        <v>984</v>
      </c>
      <c r="C289" s="1119"/>
      <c r="D289" s="1119"/>
      <c r="E289" s="1119"/>
      <c r="F289" s="1119"/>
      <c r="G289" s="1120"/>
      <c r="H289" s="1398"/>
      <c r="I289" s="938"/>
      <c r="J289" s="3027"/>
      <c r="K289" s="20"/>
      <c r="L289" s="20"/>
      <c r="M289" s="20"/>
      <c r="N289" s="1118" t="s">
        <v>155</v>
      </c>
      <c r="O289" s="1119"/>
      <c r="P289" s="1119"/>
      <c r="Q289" s="1119"/>
      <c r="R289" s="1119"/>
      <c r="S289" s="1120"/>
      <c r="T289" s="1118" t="s">
        <v>155</v>
      </c>
      <c r="U289" s="1119"/>
      <c r="V289" s="1119"/>
      <c r="W289" s="1119"/>
      <c r="X289" s="1119"/>
      <c r="Y289" s="1120"/>
      <c r="Z289" s="1118" t="s">
        <v>735</v>
      </c>
      <c r="AA289" s="1119"/>
      <c r="AB289" s="1119"/>
      <c r="AC289" s="1119"/>
      <c r="AD289" s="1119"/>
      <c r="AE289" s="1120"/>
      <c r="AQ289" s="1075"/>
      <c r="AR289" s="938"/>
      <c r="AS289" s="1812"/>
    </row>
    <row r="290" spans="1:45" ht="30" customHeight="1" x14ac:dyDescent="0.3">
      <c r="A290" s="2923" t="s">
        <v>9</v>
      </c>
      <c r="B290" s="986" t="s">
        <v>950</v>
      </c>
      <c r="C290" s="987"/>
      <c r="D290" s="987"/>
      <c r="E290" s="987"/>
      <c r="F290" s="987"/>
      <c r="G290" s="599" t="s">
        <v>570</v>
      </c>
      <c r="H290" s="1398"/>
      <c r="I290" s="938"/>
      <c r="J290" s="3027"/>
      <c r="K290" s="20"/>
      <c r="L290" s="20"/>
      <c r="M290" s="20"/>
      <c r="N290" s="986" t="s">
        <v>217</v>
      </c>
      <c r="O290" s="987"/>
      <c r="P290" s="987"/>
      <c r="Q290" s="987"/>
      <c r="R290" s="987"/>
      <c r="S290" s="988"/>
      <c r="T290" s="986" t="s">
        <v>217</v>
      </c>
      <c r="U290" s="987"/>
      <c r="V290" s="987"/>
      <c r="W290" s="987"/>
      <c r="X290" s="987"/>
      <c r="Y290" s="988"/>
      <c r="Z290" s="986" t="s">
        <v>947</v>
      </c>
      <c r="AA290" s="987"/>
      <c r="AB290" s="987"/>
      <c r="AC290" s="987"/>
      <c r="AD290" s="987"/>
      <c r="AE290" s="988"/>
    </row>
    <row r="291" spans="1:45" ht="30" customHeight="1" thickBot="1" x14ac:dyDescent="0.3">
      <c r="A291" s="2924"/>
      <c r="B291" s="1118" t="s">
        <v>984</v>
      </c>
      <c r="C291" s="1119"/>
      <c r="D291" s="1119"/>
      <c r="E291" s="1119"/>
      <c r="F291" s="1119"/>
      <c r="G291" s="1120"/>
      <c r="H291" s="1398"/>
      <c r="I291" s="1053"/>
      <c r="J291" s="3028"/>
      <c r="K291" s="20"/>
      <c r="L291" s="20"/>
      <c r="M291" s="20"/>
      <c r="N291" s="1072" t="s">
        <v>155</v>
      </c>
      <c r="O291" s="1119"/>
      <c r="P291" s="1073"/>
      <c r="Q291" s="1073"/>
      <c r="R291" s="1073"/>
      <c r="S291" s="1074"/>
      <c r="T291" s="1072" t="s">
        <v>155</v>
      </c>
      <c r="U291" s="1119"/>
      <c r="V291" s="1073"/>
      <c r="W291" s="1073"/>
      <c r="X291" s="1073"/>
      <c r="Y291" s="1074"/>
      <c r="Z291" s="1118" t="s">
        <v>735</v>
      </c>
      <c r="AA291" s="1119"/>
      <c r="AB291" s="1119"/>
      <c r="AC291" s="1119"/>
      <c r="AD291" s="1119"/>
      <c r="AE291" s="1120"/>
    </row>
    <row r="292" spans="1:45" ht="18" thickBot="1" x14ac:dyDescent="0.3">
      <c r="A292" s="19" t="s">
        <v>1</v>
      </c>
      <c r="B292" s="975" t="s">
        <v>2</v>
      </c>
      <c r="C292" s="976"/>
      <c r="D292" s="976"/>
      <c r="E292" s="976"/>
      <c r="F292" s="976"/>
      <c r="G292" s="977"/>
      <c r="H292" s="975" t="s">
        <v>3</v>
      </c>
      <c r="I292" s="976"/>
      <c r="J292" s="976"/>
      <c r="K292" s="976"/>
      <c r="L292" s="976"/>
      <c r="M292" s="977"/>
      <c r="N292" s="975" t="s">
        <v>135</v>
      </c>
      <c r="O292" s="976"/>
      <c r="P292" s="976"/>
      <c r="Q292" s="976"/>
      <c r="R292" s="976"/>
      <c r="S292" s="977"/>
      <c r="T292" s="1064" t="s">
        <v>4</v>
      </c>
      <c r="U292" s="1065"/>
      <c r="V292" s="1065"/>
      <c r="W292" s="1065"/>
      <c r="X292" s="1065"/>
      <c r="Y292" s="1066"/>
      <c r="Z292" s="975" t="s">
        <v>5</v>
      </c>
      <c r="AA292" s="976"/>
      <c r="AB292" s="976"/>
      <c r="AC292" s="976"/>
      <c r="AD292" s="976"/>
      <c r="AE292" s="977"/>
    </row>
    <row r="293" spans="1:45" ht="30" customHeight="1" x14ac:dyDescent="0.3">
      <c r="A293" s="2978" t="s">
        <v>183</v>
      </c>
      <c r="B293" s="1125"/>
      <c r="C293" s="1126"/>
      <c r="D293" s="1126"/>
      <c r="E293" s="1126"/>
      <c r="F293" s="1126"/>
      <c r="G293" s="1127"/>
      <c r="H293" s="1062"/>
      <c r="I293" s="1020"/>
      <c r="J293" s="1020"/>
      <c r="K293" s="1020"/>
      <c r="L293" s="1020"/>
      <c r="M293" s="1063"/>
      <c r="N293" s="2925"/>
      <c r="O293" s="2926"/>
      <c r="P293" s="2926"/>
      <c r="Q293" s="2926"/>
      <c r="R293" s="2926"/>
      <c r="S293" s="2927"/>
      <c r="T293" s="1125"/>
      <c r="U293" s="1126"/>
      <c r="V293" s="1126"/>
      <c r="W293" s="1126"/>
      <c r="X293" s="1126"/>
      <c r="Y293" s="1127"/>
      <c r="Z293" s="1062"/>
      <c r="AA293" s="1020"/>
      <c r="AB293" s="1020"/>
      <c r="AC293" s="1020"/>
      <c r="AD293" s="1020"/>
      <c r="AE293" s="1063"/>
    </row>
    <row r="294" spans="1:45" ht="35.25" customHeight="1" x14ac:dyDescent="0.25">
      <c r="A294" s="2914"/>
      <c r="B294" s="964"/>
      <c r="C294" s="965"/>
      <c r="D294" s="965"/>
      <c r="E294" s="965"/>
      <c r="F294" s="965"/>
      <c r="G294" s="1027"/>
      <c r="H294" s="1444"/>
      <c r="I294" s="1445"/>
      <c r="J294" s="1445"/>
      <c r="K294" s="1445"/>
      <c r="L294" s="1445"/>
      <c r="M294" s="1446"/>
      <c r="N294" s="964"/>
      <c r="O294" s="965"/>
      <c r="P294" s="965"/>
      <c r="Q294" s="965"/>
      <c r="R294" s="965"/>
      <c r="S294" s="1027"/>
      <c r="T294" s="964"/>
      <c r="U294" s="965"/>
      <c r="V294" s="965"/>
      <c r="W294" s="965"/>
      <c r="X294" s="965"/>
      <c r="Y294" s="1027"/>
      <c r="Z294" s="1444"/>
      <c r="AA294" s="1445"/>
      <c r="AB294" s="1445"/>
      <c r="AC294" s="1445"/>
      <c r="AD294" s="1445"/>
      <c r="AE294" s="1446"/>
    </row>
    <row r="295" spans="1:45" ht="30" customHeight="1" x14ac:dyDescent="0.3">
      <c r="A295" s="2923" t="s">
        <v>182</v>
      </c>
      <c r="B295" s="1062"/>
      <c r="C295" s="1020"/>
      <c r="D295" s="1020"/>
      <c r="E295" s="1020"/>
      <c r="F295" s="1020"/>
      <c r="G295" s="1063"/>
      <c r="H295" s="1062"/>
      <c r="I295" s="1020"/>
      <c r="J295" s="1020"/>
      <c r="K295" s="1020"/>
      <c r="L295" s="1020"/>
      <c r="M295" s="1063"/>
      <c r="N295" s="2925"/>
      <c r="O295" s="2926"/>
      <c r="P295" s="2926"/>
      <c r="Q295" s="2926"/>
      <c r="R295" s="2926"/>
      <c r="S295" s="2927"/>
      <c r="T295" s="1062"/>
      <c r="U295" s="1020"/>
      <c r="V295" s="1020"/>
      <c r="W295" s="1020"/>
      <c r="X295" s="1020"/>
      <c r="Y295" s="1063"/>
      <c r="Z295" s="1062"/>
      <c r="AA295" s="1020"/>
      <c r="AB295" s="1020"/>
      <c r="AC295" s="1020"/>
      <c r="AD295" s="1020"/>
      <c r="AE295" s="1063"/>
    </row>
    <row r="296" spans="1:45" ht="33" customHeight="1" x14ac:dyDescent="0.25">
      <c r="A296" s="2924"/>
      <c r="B296" s="964"/>
      <c r="C296" s="965"/>
      <c r="D296" s="965"/>
      <c r="E296" s="965"/>
      <c r="F296" s="965"/>
      <c r="G296" s="1027"/>
      <c r="H296" s="1444"/>
      <c r="I296" s="1445"/>
      <c r="J296" s="1445"/>
      <c r="K296" s="1445"/>
      <c r="L296" s="1445"/>
      <c r="M296" s="1446"/>
      <c r="N296" s="2180"/>
      <c r="O296" s="1091"/>
      <c r="P296" s="1091"/>
      <c r="Q296" s="1091"/>
      <c r="R296" s="1091"/>
      <c r="S296" s="1092"/>
      <c r="T296" s="964"/>
      <c r="U296" s="965"/>
      <c r="V296" s="965"/>
      <c r="W296" s="965"/>
      <c r="X296" s="965"/>
      <c r="Y296" s="1027"/>
      <c r="Z296" s="964"/>
      <c r="AA296" s="965"/>
      <c r="AB296" s="965"/>
      <c r="AC296" s="965"/>
      <c r="AD296" s="965"/>
      <c r="AE296" s="1027"/>
    </row>
    <row r="297" spans="1:45" ht="33" customHeight="1" x14ac:dyDescent="0.3">
      <c r="A297" s="2914" t="s">
        <v>184</v>
      </c>
      <c r="B297" s="1062"/>
      <c r="C297" s="1020"/>
      <c r="D297" s="1020"/>
      <c r="E297" s="1020"/>
      <c r="F297" s="1020"/>
      <c r="G297" s="1063"/>
      <c r="H297" s="1062"/>
      <c r="I297" s="1020"/>
      <c r="J297" s="1020"/>
      <c r="K297" s="1020"/>
      <c r="L297" s="1020"/>
      <c r="M297" s="1063"/>
      <c r="N297" s="2915" t="s">
        <v>1074</v>
      </c>
      <c r="O297" s="2308"/>
      <c r="P297" s="2308"/>
      <c r="Q297" s="2308"/>
      <c r="R297" s="2308"/>
      <c r="S297" s="2916"/>
      <c r="T297" s="364"/>
      <c r="U297" s="365"/>
      <c r="V297" s="365"/>
      <c r="W297" s="365"/>
      <c r="X297" s="365"/>
      <c r="Y297" s="371"/>
      <c r="Z297" s="364"/>
      <c r="AA297" s="365"/>
      <c r="AB297" s="365"/>
      <c r="AC297" s="365"/>
      <c r="AD297" s="365"/>
      <c r="AE297" s="371"/>
    </row>
    <row r="298" spans="1:45" ht="33" customHeight="1" x14ac:dyDescent="0.25">
      <c r="A298" s="2914"/>
      <c r="B298" s="964"/>
      <c r="C298" s="965"/>
      <c r="D298" s="965"/>
      <c r="E298" s="965"/>
      <c r="F298" s="965"/>
      <c r="G298" s="1027"/>
      <c r="H298" s="1106"/>
      <c r="I298" s="1107"/>
      <c r="J298" s="1107"/>
      <c r="K298" s="1107"/>
      <c r="L298" s="1107"/>
      <c r="M298" s="2917"/>
      <c r="N298" s="1072" t="s">
        <v>984</v>
      </c>
      <c r="O298" s="1073"/>
      <c r="P298" s="1073"/>
      <c r="Q298" s="1073"/>
      <c r="R298" s="1073"/>
      <c r="S298" s="1074"/>
      <c r="T298" s="364"/>
      <c r="U298" s="365"/>
      <c r="V298" s="365"/>
      <c r="W298" s="365"/>
      <c r="X298" s="365"/>
      <c r="Y298" s="371"/>
      <c r="Z298" s="364"/>
      <c r="AA298" s="365"/>
      <c r="AB298" s="365"/>
      <c r="AC298" s="365"/>
      <c r="AD298" s="365"/>
      <c r="AE298" s="371"/>
    </row>
    <row r="299" spans="1:45" ht="33" customHeight="1" x14ac:dyDescent="0.3">
      <c r="A299" s="2914" t="s">
        <v>185</v>
      </c>
      <c r="B299" s="1062"/>
      <c r="C299" s="1020"/>
      <c r="D299" s="1020"/>
      <c r="E299" s="1020"/>
      <c r="F299" s="1020"/>
      <c r="G299" s="1063"/>
      <c r="H299" s="1062"/>
      <c r="I299" s="1020"/>
      <c r="J299" s="1020"/>
      <c r="K299" s="1020"/>
      <c r="L299" s="1020"/>
      <c r="M299" s="1063"/>
      <c r="N299" s="2915" t="s">
        <v>1074</v>
      </c>
      <c r="O299" s="2308"/>
      <c r="P299" s="2308"/>
      <c r="Q299" s="2308"/>
      <c r="R299" s="2308"/>
      <c r="S299" s="2916"/>
      <c r="T299" s="1062"/>
      <c r="U299" s="1020"/>
      <c r="V299" s="1020"/>
      <c r="W299" s="1020"/>
      <c r="X299" s="1020"/>
      <c r="Y299" s="1063"/>
      <c r="Z299" s="1062"/>
      <c r="AA299" s="1020"/>
      <c r="AB299" s="1020"/>
      <c r="AC299" s="1020"/>
      <c r="AD299" s="1020"/>
      <c r="AE299" s="1063"/>
    </row>
    <row r="300" spans="1:45" ht="33" customHeight="1" x14ac:dyDescent="0.25">
      <c r="A300" s="2914"/>
      <c r="B300" s="1106"/>
      <c r="C300" s="1107"/>
      <c r="D300" s="1107"/>
      <c r="E300" s="1107"/>
      <c r="F300" s="1107"/>
      <c r="G300" s="2917"/>
      <c r="H300" s="1106"/>
      <c r="I300" s="1107"/>
      <c r="J300" s="1107"/>
      <c r="K300" s="1107"/>
      <c r="L300" s="1107"/>
      <c r="M300" s="2917"/>
      <c r="N300" s="1072" t="s">
        <v>984</v>
      </c>
      <c r="O300" s="1073"/>
      <c r="P300" s="1073"/>
      <c r="Q300" s="1073"/>
      <c r="R300" s="1073"/>
      <c r="S300" s="1074"/>
      <c r="T300" s="964"/>
      <c r="U300" s="965"/>
      <c r="V300" s="965"/>
      <c r="W300" s="965"/>
      <c r="X300" s="965"/>
      <c r="Y300" s="1027"/>
      <c r="Z300" s="1106"/>
      <c r="AA300" s="1107"/>
      <c r="AB300" s="1107"/>
      <c r="AC300" s="1107"/>
      <c r="AD300" s="1107"/>
      <c r="AE300" s="2917"/>
    </row>
    <row r="301" spans="1:45" ht="33" customHeight="1" x14ac:dyDescent="0.3">
      <c r="A301" s="2914" t="s">
        <v>186</v>
      </c>
      <c r="B301" s="2915" t="s">
        <v>950</v>
      </c>
      <c r="C301" s="2308"/>
      <c r="D301" s="2308"/>
      <c r="E301" s="2308"/>
      <c r="F301" s="2308"/>
      <c r="G301" s="2916"/>
      <c r="H301" s="1062"/>
      <c r="I301" s="1020"/>
      <c r="J301" s="1020"/>
      <c r="K301" s="1020"/>
      <c r="L301" s="1020"/>
      <c r="M301" s="1063"/>
      <c r="N301" s="1062"/>
      <c r="O301" s="1020"/>
      <c r="P301" s="1020"/>
      <c r="Q301" s="1020"/>
      <c r="R301" s="1020"/>
      <c r="S301" s="1063"/>
      <c r="T301" s="364"/>
      <c r="U301" s="365"/>
      <c r="V301" s="365"/>
      <c r="W301" s="365"/>
      <c r="X301" s="365"/>
      <c r="Y301" s="371"/>
      <c r="Z301" s="364"/>
      <c r="AA301" s="365"/>
      <c r="AB301" s="365"/>
      <c r="AC301" s="365"/>
      <c r="AD301" s="365"/>
      <c r="AE301" s="371"/>
    </row>
    <row r="302" spans="1:45" ht="33" customHeight="1" x14ac:dyDescent="0.25">
      <c r="A302" s="2914"/>
      <c r="B302" s="3042" t="s">
        <v>569</v>
      </c>
      <c r="C302" s="3043"/>
      <c r="D302" s="3043"/>
      <c r="E302" s="3043"/>
      <c r="F302" s="3043"/>
      <c r="G302" s="3044"/>
      <c r="H302" s="1106"/>
      <c r="I302" s="1107"/>
      <c r="J302" s="1107"/>
      <c r="K302" s="1107"/>
      <c r="L302" s="1107"/>
      <c r="M302" s="2917"/>
      <c r="N302" s="964"/>
      <c r="O302" s="965"/>
      <c r="P302" s="965"/>
      <c r="Q302" s="965"/>
      <c r="R302" s="965"/>
      <c r="S302" s="1027"/>
      <c r="T302" s="364"/>
      <c r="U302" s="365"/>
      <c r="V302" s="365"/>
      <c r="W302" s="365"/>
      <c r="X302" s="365"/>
      <c r="Y302" s="371"/>
      <c r="Z302" s="364"/>
      <c r="AA302" s="365"/>
      <c r="AB302" s="365"/>
      <c r="AC302" s="365"/>
      <c r="AD302" s="365"/>
      <c r="AE302" s="371"/>
    </row>
    <row r="303" spans="1:45" ht="30" customHeight="1" x14ac:dyDescent="0.3">
      <c r="A303" s="2914" t="s">
        <v>187</v>
      </c>
      <c r="B303" s="1118" t="s">
        <v>984</v>
      </c>
      <c r="C303" s="1119"/>
      <c r="D303" s="1119"/>
      <c r="E303" s="1119"/>
      <c r="F303" s="1119"/>
      <c r="G303" s="1120"/>
      <c r="H303" s="1062"/>
      <c r="I303" s="1020"/>
      <c r="J303" s="1020"/>
      <c r="K303" s="1020"/>
      <c r="L303" s="1020"/>
      <c r="M303" s="1063"/>
      <c r="N303" s="1062"/>
      <c r="O303" s="1020"/>
      <c r="P303" s="1020"/>
      <c r="Q303" s="1020"/>
      <c r="R303" s="1020"/>
      <c r="S303" s="1063"/>
      <c r="T303" s="1062"/>
      <c r="U303" s="1020"/>
      <c r="V303" s="1020"/>
      <c r="W303" s="1020"/>
      <c r="X303" s="1020"/>
      <c r="Y303" s="1063"/>
      <c r="Z303" s="1062"/>
      <c r="AA303" s="1020"/>
      <c r="AB303" s="1020"/>
      <c r="AC303" s="1020"/>
      <c r="AD303" s="1020"/>
      <c r="AE303" s="1063"/>
    </row>
    <row r="304" spans="1:45" ht="30" customHeight="1" x14ac:dyDescent="0.25">
      <c r="A304" s="2914"/>
      <c r="B304" s="2918"/>
      <c r="C304" s="2919"/>
      <c r="D304" s="2919"/>
      <c r="E304" s="2919"/>
      <c r="F304" s="2919"/>
      <c r="G304" s="2920"/>
      <c r="H304" s="1106"/>
      <c r="I304" s="1107"/>
      <c r="J304" s="1107"/>
      <c r="K304" s="1107"/>
      <c r="L304" s="1107"/>
      <c r="M304" s="2917"/>
      <c r="N304" s="1106"/>
      <c r="O304" s="1107"/>
      <c r="P304" s="1107"/>
      <c r="Q304" s="1107"/>
      <c r="R304" s="1107"/>
      <c r="S304" s="2917"/>
      <c r="T304" s="964"/>
      <c r="U304" s="965"/>
      <c r="V304" s="965"/>
      <c r="W304" s="965"/>
      <c r="X304" s="965"/>
      <c r="Y304" s="1027"/>
      <c r="Z304" s="1106"/>
      <c r="AA304" s="1107"/>
      <c r="AB304" s="1107"/>
      <c r="AC304" s="1107"/>
      <c r="AD304" s="1107"/>
      <c r="AE304" s="2917"/>
    </row>
    <row r="305" spans="1:31" ht="15" x14ac:dyDescent="0.25">
      <c r="A305" s="2928" t="s">
        <v>1076</v>
      </c>
      <c r="B305" s="2929"/>
      <c r="C305" s="2929"/>
      <c r="D305" s="2929"/>
      <c r="E305" s="2930"/>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21" t="s">
        <v>214</v>
      </c>
      <c r="B308" s="2922"/>
      <c r="C308" s="2271" t="s">
        <v>215</v>
      </c>
      <c r="D308" s="2272"/>
      <c r="E308" s="2272"/>
      <c r="F308" s="2272"/>
      <c r="G308" s="2272"/>
      <c r="H308" s="2272"/>
      <c r="I308" s="2272"/>
      <c r="J308" s="2272"/>
      <c r="K308" s="2272"/>
      <c r="L308" s="166"/>
      <c r="M308" s="2273" t="s">
        <v>618</v>
      </c>
      <c r="N308" s="2268"/>
      <c r="O308" s="2271" t="s">
        <v>139</v>
      </c>
      <c r="P308" s="2274"/>
      <c r="Q308" s="2271" t="s">
        <v>163</v>
      </c>
      <c r="R308" s="2272"/>
      <c r="S308" s="2272"/>
      <c r="T308" s="2272"/>
      <c r="U308" s="2272"/>
      <c r="V308" s="2272"/>
      <c r="W308" s="2272"/>
      <c r="X308" s="2272"/>
      <c r="Y308" s="2272"/>
      <c r="Z308" s="2272"/>
      <c r="AA308" s="2272"/>
      <c r="AB308" s="2272"/>
      <c r="AC308" s="2272"/>
      <c r="AD308" s="2272"/>
      <c r="AE308" s="2274"/>
    </row>
    <row r="309" spans="1:31" ht="13.8" x14ac:dyDescent="0.25">
      <c r="A309" s="2251" t="s">
        <v>217</v>
      </c>
      <c r="B309" s="2252"/>
      <c r="C309" s="2006" t="str">
        <f>ASIGNATURAS!I339</f>
        <v>Diseño Mecánico</v>
      </c>
      <c r="D309" s="1177"/>
      <c r="E309" s="1177"/>
      <c r="F309" s="1177"/>
      <c r="G309" s="1177"/>
      <c r="H309" s="1177"/>
      <c r="I309" s="1177"/>
      <c r="J309" s="1177"/>
      <c r="K309" s="1177"/>
      <c r="L309" s="981"/>
      <c r="M309" s="2145">
        <v>8238</v>
      </c>
      <c r="N309" s="936"/>
      <c r="O309" s="2145">
        <v>6</v>
      </c>
      <c r="P309" s="936"/>
      <c r="Q309" s="2006" t="str">
        <f>ASIGNATURAS!K339</f>
        <v>María José García</v>
      </c>
      <c r="R309" s="1177"/>
      <c r="S309" s="1177"/>
      <c r="T309" s="1177"/>
      <c r="U309" s="1177"/>
      <c r="V309" s="1177"/>
      <c r="W309" s="1177"/>
      <c r="X309" s="1177"/>
      <c r="Y309" s="1177"/>
      <c r="Z309" s="1177"/>
      <c r="AA309" s="1177"/>
      <c r="AB309" s="1177"/>
      <c r="AC309" s="1177"/>
      <c r="AD309" s="1177"/>
      <c r="AE309" s="981"/>
    </row>
    <row r="310" spans="1:31" ht="13.8" x14ac:dyDescent="0.25">
      <c r="A310" s="2251" t="s">
        <v>930</v>
      </c>
      <c r="B310" s="2252"/>
      <c r="C310" s="2006" t="str">
        <f>ASIGNATURAS!I340</f>
        <v>Instrumentación y Señales Biomédicas</v>
      </c>
      <c r="D310" s="1177"/>
      <c r="E310" s="1177"/>
      <c r="F310" s="1177"/>
      <c r="G310" s="1177"/>
      <c r="H310" s="1177"/>
      <c r="I310" s="1177"/>
      <c r="J310" s="1177"/>
      <c r="K310" s="1177"/>
      <c r="L310" s="981"/>
      <c r="M310" s="2145">
        <v>8239</v>
      </c>
      <c r="N310" s="936"/>
      <c r="O310" s="2145">
        <v>6</v>
      </c>
      <c r="P310" s="936"/>
      <c r="Q310" s="2006" t="str">
        <f>ASIGNATURAS!K340</f>
        <v>GuirguisZaqui</v>
      </c>
      <c r="R310" s="1177"/>
      <c r="S310" s="1177"/>
      <c r="T310" s="1177"/>
      <c r="U310" s="1177"/>
      <c r="V310" s="1177"/>
      <c r="W310" s="1177"/>
      <c r="X310" s="1177"/>
      <c r="Y310" s="1177"/>
      <c r="Z310" s="1177"/>
      <c r="AA310" s="1177"/>
      <c r="AB310" s="1177"/>
      <c r="AC310" s="1177"/>
      <c r="AD310" s="1177"/>
      <c r="AE310" s="981"/>
    </row>
    <row r="311" spans="1:31" ht="14.25" customHeight="1" x14ac:dyDescent="0.25">
      <c r="A311" s="2251" t="s">
        <v>947</v>
      </c>
      <c r="B311" s="2252"/>
      <c r="C311" s="2006" t="str">
        <f>ASIGNATURAS!I341</f>
        <v>Minería de Datos Clínicos y Biológicos</v>
      </c>
      <c r="D311" s="1177"/>
      <c r="E311" s="1177"/>
      <c r="F311" s="1177"/>
      <c r="G311" s="1177"/>
      <c r="H311" s="1177"/>
      <c r="I311" s="1177"/>
      <c r="J311" s="1177"/>
      <c r="K311" s="1177"/>
      <c r="L311" s="981"/>
      <c r="M311" s="2145">
        <v>8240</v>
      </c>
      <c r="N311" s="936"/>
      <c r="O311" s="2145">
        <v>6</v>
      </c>
      <c r="P311" s="936"/>
      <c r="Q311" s="2006" t="str">
        <f>ASIGNATURAS!K341</f>
        <v xml:space="preserve">José Francisco Díez Juan José Rodríguez, </v>
      </c>
      <c r="R311" s="1177"/>
      <c r="S311" s="1177"/>
      <c r="T311" s="1177"/>
      <c r="U311" s="1177"/>
      <c r="V311" s="1177"/>
      <c r="W311" s="1177"/>
      <c r="X311" s="1177"/>
      <c r="Y311" s="1177"/>
      <c r="Z311" s="1177"/>
      <c r="AA311" s="1177"/>
      <c r="AB311" s="1177"/>
      <c r="AC311" s="1177"/>
      <c r="AD311" s="1177"/>
      <c r="AE311" s="981"/>
    </row>
    <row r="312" spans="1:31" ht="13.8" x14ac:dyDescent="0.25">
      <c r="A312" s="2251" t="s">
        <v>949</v>
      </c>
      <c r="B312" s="2252"/>
      <c r="C312" s="2006" t="str">
        <f>ASIGNATURAS!I342</f>
        <v>Arquitectura de Computadores</v>
      </c>
      <c r="D312" s="1177"/>
      <c r="E312" s="1177"/>
      <c r="F312" s="1177"/>
      <c r="G312" s="1177"/>
      <c r="H312" s="1177"/>
      <c r="I312" s="1177"/>
      <c r="J312" s="1177"/>
      <c r="K312" s="1177"/>
      <c r="L312" s="981"/>
      <c r="M312" s="2145">
        <v>8241</v>
      </c>
      <c r="N312" s="936"/>
      <c r="O312" s="936">
        <v>3</v>
      </c>
      <c r="P312" s="1205"/>
      <c r="Q312" s="2006" t="str">
        <f>ASIGNATURAS!K342</f>
        <v>Pedro Luis Sánchez</v>
      </c>
      <c r="R312" s="1177"/>
      <c r="S312" s="1177"/>
      <c r="T312" s="1177"/>
      <c r="U312" s="1177"/>
      <c r="V312" s="1177"/>
      <c r="W312" s="1177"/>
      <c r="X312" s="1177"/>
      <c r="Y312" s="1177"/>
      <c r="Z312" s="1177"/>
      <c r="AA312" s="1177"/>
      <c r="AB312" s="1177"/>
      <c r="AC312" s="1177"/>
      <c r="AD312" s="1177"/>
      <c r="AE312" s="981"/>
    </row>
    <row r="313" spans="1:31" ht="13.8" x14ac:dyDescent="0.25">
      <c r="A313" s="2251" t="s">
        <v>950</v>
      </c>
      <c r="B313" s="2252"/>
      <c r="C313" s="2006" t="str">
        <f>ASIGNATURAS!I343</f>
        <v>Telemedicina</v>
      </c>
      <c r="D313" s="1177"/>
      <c r="E313" s="1177"/>
      <c r="F313" s="1177"/>
      <c r="G313" s="1177"/>
      <c r="H313" s="1177"/>
      <c r="I313" s="1177"/>
      <c r="J313" s="1177"/>
      <c r="K313" s="1177"/>
      <c r="L313" s="981"/>
      <c r="M313" s="2145">
        <v>8242</v>
      </c>
      <c r="N313" s="936"/>
      <c r="O313" s="936">
        <v>3</v>
      </c>
      <c r="P313" s="1205"/>
      <c r="Q313" s="2006" t="str">
        <f>ASIGNATURAS!K343</f>
        <v>GuirguisZaqui</v>
      </c>
      <c r="R313" s="1177"/>
      <c r="S313" s="1177"/>
      <c r="T313" s="1177"/>
      <c r="U313" s="1177"/>
      <c r="V313" s="1177"/>
      <c r="W313" s="1177"/>
      <c r="X313" s="1177"/>
      <c r="Y313" s="1177"/>
      <c r="Z313" s="1177"/>
      <c r="AA313" s="1177"/>
      <c r="AB313" s="1177"/>
      <c r="AC313" s="1177"/>
      <c r="AD313" s="1177"/>
      <c r="AE313" s="981"/>
    </row>
    <row r="314" spans="1:31" ht="13.8" x14ac:dyDescent="0.25">
      <c r="A314" s="2251" t="s">
        <v>1002</v>
      </c>
      <c r="B314" s="2252"/>
      <c r="C314" s="2006" t="str">
        <f>ASIGNATURAS!I344</f>
        <v>Prácticas en Hospitales /Empresas</v>
      </c>
      <c r="D314" s="1177"/>
      <c r="E314" s="1177"/>
      <c r="F314" s="1177"/>
      <c r="G314" s="1177"/>
      <c r="H314" s="1177"/>
      <c r="I314" s="1177"/>
      <c r="J314" s="1177"/>
      <c r="K314" s="1177"/>
      <c r="L314" s="981"/>
      <c r="M314" s="2145">
        <v>8243</v>
      </c>
      <c r="N314" s="936"/>
      <c r="O314" s="2145">
        <v>6</v>
      </c>
      <c r="P314" s="936"/>
      <c r="Q314" s="2006">
        <f>ASIGNATURAS!K344</f>
        <v>0</v>
      </c>
      <c r="R314" s="1177"/>
      <c r="S314" s="1177"/>
      <c r="T314" s="1177"/>
      <c r="U314" s="1177"/>
      <c r="V314" s="1177"/>
      <c r="W314" s="1177"/>
      <c r="X314" s="1177"/>
      <c r="Y314" s="1177"/>
      <c r="Z314" s="1177"/>
      <c r="AA314" s="1177"/>
      <c r="AB314" s="1177"/>
      <c r="AC314" s="1177"/>
      <c r="AD314" s="1177"/>
      <c r="AE314" s="981"/>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64" t="s">
        <v>2</v>
      </c>
      <c r="C8" s="1066"/>
      <c r="D8" s="1064" t="s">
        <v>3</v>
      </c>
      <c r="E8" s="1066"/>
      <c r="F8" s="1064" t="s">
        <v>135</v>
      </c>
      <c r="G8" s="1066"/>
      <c r="H8" s="1064" t="s">
        <v>4</v>
      </c>
      <c r="I8" s="1066"/>
      <c r="J8" s="1064" t="s">
        <v>5</v>
      </c>
      <c r="K8" s="1066"/>
    </row>
    <row r="9" spans="1:11" ht="12.75" customHeight="1" x14ac:dyDescent="0.25">
      <c r="A9" s="2522"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550"/>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550"/>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484"/>
      <c r="B12" s="120" t="s">
        <v>592</v>
      </c>
      <c r="C12" s="121" t="s">
        <v>593</v>
      </c>
      <c r="D12" s="120" t="s">
        <v>592</v>
      </c>
      <c r="E12" s="121" t="s">
        <v>595</v>
      </c>
      <c r="F12" s="120" t="s">
        <v>592</v>
      </c>
      <c r="G12" s="121" t="s">
        <v>596</v>
      </c>
      <c r="H12" s="120" t="s">
        <v>592</v>
      </c>
      <c r="I12" s="121" t="s">
        <v>597</v>
      </c>
      <c r="J12" s="120" t="s">
        <v>592</v>
      </c>
      <c r="K12" s="121" t="s">
        <v>598</v>
      </c>
    </row>
    <row r="13" spans="1:11" x14ac:dyDescent="0.25">
      <c r="A13" s="2522"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550"/>
      <c r="B14" s="116" t="s">
        <v>588</v>
      </c>
      <c r="C14" s="117" t="s">
        <v>589</v>
      </c>
      <c r="D14" s="116" t="s">
        <v>588</v>
      </c>
      <c r="E14" s="117" t="s">
        <v>589</v>
      </c>
      <c r="F14" s="116" t="s">
        <v>588</v>
      </c>
      <c r="G14" s="117" t="s">
        <v>589</v>
      </c>
      <c r="H14" s="116" t="s">
        <v>588</v>
      </c>
      <c r="I14" s="117" t="s">
        <v>589</v>
      </c>
      <c r="J14" s="116" t="s">
        <v>588</v>
      </c>
      <c r="K14" s="117" t="s">
        <v>589</v>
      </c>
    </row>
    <row r="15" spans="1:11" x14ac:dyDescent="0.25">
      <c r="A15" s="1550"/>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484"/>
      <c r="B16" s="120" t="s">
        <v>592</v>
      </c>
      <c r="C16" s="121" t="s">
        <v>593</v>
      </c>
      <c r="D16" s="120" t="s">
        <v>592</v>
      </c>
      <c r="E16" s="121" t="s">
        <v>595</v>
      </c>
      <c r="F16" s="120" t="s">
        <v>592</v>
      </c>
      <c r="G16" s="121" t="s">
        <v>596</v>
      </c>
      <c r="H16" s="120" t="s">
        <v>592</v>
      </c>
      <c r="I16" s="121" t="s">
        <v>597</v>
      </c>
      <c r="J16" s="120" t="s">
        <v>592</v>
      </c>
      <c r="K16" s="121" t="s">
        <v>598</v>
      </c>
    </row>
    <row r="17" spans="1:11" x14ac:dyDescent="0.25">
      <c r="A17" s="2522"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550"/>
      <c r="B18" s="116" t="s">
        <v>588</v>
      </c>
      <c r="C18" s="117" t="s">
        <v>589</v>
      </c>
      <c r="D18" s="3047"/>
      <c r="E18" s="3049"/>
      <c r="F18" s="116" t="s">
        <v>588</v>
      </c>
      <c r="G18" s="117" t="s">
        <v>589</v>
      </c>
      <c r="H18" s="116" t="s">
        <v>588</v>
      </c>
      <c r="I18" s="117" t="s">
        <v>589</v>
      </c>
      <c r="J18" s="116" t="s">
        <v>588</v>
      </c>
      <c r="K18" s="117" t="s">
        <v>589</v>
      </c>
    </row>
    <row r="19" spans="1:11" x14ac:dyDescent="0.25">
      <c r="A19" s="1550"/>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484"/>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30"/>
  <sheetViews>
    <sheetView tabSelected="1" topLeftCell="A4" workbookViewId="0">
      <selection activeCell="B30" sqref="B30"/>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1232</v>
      </c>
      <c r="C2" s="3064"/>
      <c r="D2" s="3064"/>
      <c r="E2" s="3064"/>
      <c r="F2" s="3065"/>
      <c r="J2" s="20" t="s">
        <v>1314</v>
      </c>
      <c r="K2" s="20"/>
      <c r="L2" s="20"/>
    </row>
    <row r="3" spans="2:16" x14ac:dyDescent="0.25">
      <c r="B3" s="3066"/>
      <c r="C3" s="3067"/>
      <c r="D3" s="3067"/>
      <c r="E3" s="3067"/>
      <c r="F3" s="3068"/>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54" t="s">
        <v>1316</v>
      </c>
      <c r="O16" s="3057" t="s">
        <v>178</v>
      </c>
      <c r="P16" s="3060" t="s">
        <v>1317</v>
      </c>
    </row>
    <row r="17" spans="2:16" x14ac:dyDescent="0.25">
      <c r="B17" s="20" t="s">
        <v>1323</v>
      </c>
      <c r="K17" s="914" t="s">
        <v>1318</v>
      </c>
      <c r="L17" s="3060" t="s">
        <v>1317</v>
      </c>
      <c r="N17" s="3055"/>
      <c r="O17" s="3058"/>
      <c r="P17" s="3061"/>
    </row>
    <row r="18" spans="2:16" x14ac:dyDescent="0.25">
      <c r="K18" s="3069" t="s">
        <v>1316</v>
      </c>
      <c r="L18" s="3061"/>
      <c r="N18" s="3055"/>
      <c r="O18" s="3058"/>
      <c r="P18" s="3061"/>
    </row>
    <row r="19" spans="2:16" x14ac:dyDescent="0.25">
      <c r="B19" s="20" t="s">
        <v>1324</v>
      </c>
      <c r="K19" s="3055"/>
      <c r="L19" s="3061"/>
      <c r="N19" s="3055"/>
      <c r="O19" s="3058"/>
      <c r="P19" s="3061"/>
    </row>
    <row r="20" spans="2:16" x14ac:dyDescent="0.25">
      <c r="B20" t="s">
        <v>1325</v>
      </c>
      <c r="K20" s="3055"/>
      <c r="L20" s="3061"/>
      <c r="N20" s="3055"/>
      <c r="O20" s="3058"/>
      <c r="P20" s="3061"/>
    </row>
    <row r="21" spans="2:16" x14ac:dyDescent="0.25">
      <c r="K21" s="3055"/>
      <c r="L21" s="3061"/>
      <c r="N21" s="3055"/>
      <c r="O21" s="3058"/>
      <c r="P21" s="3061"/>
    </row>
    <row r="22" spans="2:16" x14ac:dyDescent="0.25">
      <c r="B22" s="20" t="s">
        <v>1326</v>
      </c>
      <c r="K22" s="3055"/>
      <c r="L22" s="3061"/>
      <c r="N22" s="3056"/>
      <c r="O22" s="3059"/>
      <c r="P22" s="3062"/>
    </row>
    <row r="23" spans="2:16" x14ac:dyDescent="0.25">
      <c r="K23" s="3056"/>
      <c r="L23" s="3062"/>
    </row>
    <row r="24" spans="2:16" x14ac:dyDescent="0.25">
      <c r="B24" s="20" t="s">
        <v>1335</v>
      </c>
    </row>
    <row r="25" spans="2:16" x14ac:dyDescent="0.25">
      <c r="B25" t="s">
        <v>1336</v>
      </c>
    </row>
    <row r="27" spans="2:16" x14ac:dyDescent="0.25">
      <c r="B27" s="20" t="s">
        <v>1372</v>
      </c>
    </row>
    <row r="28" spans="2:16" x14ac:dyDescent="0.25">
      <c r="B28" s="20" t="s">
        <v>1373</v>
      </c>
    </row>
    <row r="30" spans="2:16" x14ac:dyDescent="0.25">
      <c r="B30" s="20" t="s">
        <v>1374</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2026-05-07T05:55:47Z</dcterms:modified>
</cp:coreProperties>
</file>